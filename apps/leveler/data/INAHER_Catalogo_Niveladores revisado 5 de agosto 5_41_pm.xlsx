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pple/Documents/Inaher/Proyectos/App movil/"/>
    </mc:Choice>
  </mc:AlternateContent>
  <xr:revisionPtr revIDLastSave="0" documentId="13_ncr:1_{617E00A5-AE0E-8C40-9AC3-EE7F7631E139}" xr6:coauthVersionLast="47" xr6:coauthVersionMax="47" xr10:uidLastSave="{00000000-0000-0000-0000-000000000000}"/>
  <bookViews>
    <workbookView xWindow="0" yWindow="600" windowWidth="38400" windowHeight="19840" tabRatio="604" xr2:uid="{00000000-000D-0000-FFFF-FFFF00000000}"/>
  </bookViews>
  <sheets>
    <sheet name="Catálogo niveladores WEB" sheetId="1" r:id="rId1"/>
    <sheet name="Hallazgos y pendientes" sheetId="2" r:id="rId2"/>
  </sheets>
  <definedNames>
    <definedName name="_xlnm._FilterDatabase" localSheetId="0" hidden="1">'Catálogo niveladores WEB'!$A$1:$O$85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" i="1" l="1"/>
  <c r="O46" i="1"/>
  <c r="O19" i="1"/>
  <c r="O18" i="1"/>
  <c r="O17" i="1"/>
  <c r="O16" i="1"/>
  <c r="O15" i="1"/>
  <c r="O14" i="1"/>
  <c r="O13" i="1"/>
  <c r="O20" i="1"/>
  <c r="O8" i="1"/>
  <c r="O56" i="1"/>
  <c r="O76" i="1"/>
  <c r="O31" i="1"/>
  <c r="O22" i="1"/>
  <c r="O42" i="1"/>
  <c r="O41" i="1"/>
  <c r="O60" i="1"/>
  <c r="O35" i="1"/>
  <c r="O54" i="1"/>
  <c r="O5" i="1"/>
  <c r="O11" i="1"/>
  <c r="O78" i="1"/>
  <c r="O53" i="1"/>
  <c r="O48" i="1"/>
  <c r="O40" i="1"/>
  <c r="O34" i="1"/>
  <c r="O10" i="1"/>
  <c r="O38" i="1"/>
  <c r="O51" i="1"/>
  <c r="O49" i="1"/>
  <c r="O24" i="1"/>
  <c r="O82" i="1"/>
  <c r="O81" i="1"/>
  <c r="O80" i="1"/>
  <c r="O43" i="1"/>
  <c r="O29" i="1"/>
  <c r="O27" i="1"/>
  <c r="O25" i="1"/>
  <c r="O2" i="1"/>
  <c r="O12" i="1"/>
  <c r="O9" i="1"/>
  <c r="O85" i="1"/>
  <c r="O28" i="1"/>
  <c r="O26" i="1"/>
  <c r="O84" i="1"/>
  <c r="O62" i="1"/>
  <c r="O61" i="1"/>
  <c r="O63" i="1"/>
  <c r="O23" i="1"/>
  <c r="O83" i="1"/>
  <c r="O7" i="1"/>
  <c r="O4" i="1"/>
  <c r="O3" i="1"/>
  <c r="O77" i="1"/>
  <c r="O75" i="1"/>
  <c r="O45" i="1"/>
  <c r="O44" i="1"/>
  <c r="O21" i="1"/>
  <c r="O55" i="1"/>
  <c r="O30" i="1"/>
  <c r="O58" i="1"/>
  <c r="O59" i="1"/>
  <c r="O39" i="1"/>
  <c r="O33" i="1"/>
  <c r="O32" i="1"/>
  <c r="O36" i="1"/>
  <c r="O79" i="1"/>
  <c r="O74" i="1"/>
  <c r="O73" i="1"/>
  <c r="O72" i="1"/>
  <c r="O71" i="1"/>
  <c r="O70" i="1"/>
  <c r="O69" i="1"/>
  <c r="O68" i="1"/>
  <c r="O67" i="1"/>
  <c r="O66" i="1"/>
  <c r="O65" i="1"/>
  <c r="O64" i="1"/>
  <c r="O57" i="1"/>
  <c r="O52" i="1"/>
  <c r="O37" i="1"/>
  <c r="O50" i="1"/>
  <c r="O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<sst xmlns="http://schemas.openxmlformats.org/spreadsheetml/2006/main" count="1213" uniqueCount="535">
  <si>
    <t>Modelo</t>
  </si>
  <si>
    <t>Capacidad de carga (título web)</t>
  </si>
  <si>
    <t>Tipo (según nombre/filtros web)</t>
  </si>
  <si>
    <t>Roscas métricas</t>
  </si>
  <si>
    <t>Roscas estándar</t>
  </si>
  <si>
    <t>Diámetro de base (ficha web)</t>
  </si>
  <si>
    <t>Altura de base (ficha web)</t>
  </si>
  <si>
    <t>Altura de tornillo (ficha web)</t>
  </si>
  <si>
    <t>Aplicaciones (ficha web)</t>
  </si>
  <si>
    <t>Características especiales (ficha web)</t>
  </si>
  <si>
    <t>Material de tornillo (ficha web)</t>
  </si>
  <si>
    <t>Material de base (ficha web)</t>
  </si>
  <si>
    <t>URL de ficha</t>
  </si>
  <si>
    <t>Imagen principal (URL)</t>
  </si>
  <si>
    <t>Vista previa (Excel 365 / Sheets)</t>
  </si>
  <si>
    <t>A3NB40</t>
  </si>
  <si>
    <t>200 Kg</t>
  </si>
  <si>
    <t>Rótula</t>
  </si>
  <si>
    <t>M10×1.50, M12×1.75, M14×2.00, M16×2.00</t>
  </si>
  <si>
    <t>3/8"-16, 7/16"-14, 1/2"-13, 5/8"-11</t>
  </si>
  <si>
    <t>40 mm</t>
  </si>
  <si>
    <t>16.5mm</t>
  </si>
  <si>
    <t>2" a 10"</t>
  </si>
  <si>
    <t>• Industria alimentaria y farmacéutica: Aplicación en mesas de trabajo, bandas transportadoras y equipos de procesamiento con requisitos de higiene y estabilidad.
• Equipos médicos y de laboratorio: Uso en mesas de laboratorio, microscopios y equipos de precisión donde se requiere aislamiento de vibraciones y protección de superficies.
• Robótica y automatización: Nivelación de robots colaborativos y brazos mecánicos en celdas de trabajo, garantizando precisión en sus movimientos.</t>
  </si>
  <si>
    <t>nivelador articulado que se ajuste a pendientes y antiderrapante.</t>
  </si>
  <si>
    <t>Acero galvanizado ó acero inoxidable T-304</t>
  </si>
  <si>
    <t>https://inahermex.com/producto/nivelador-con-rotula-a3nb40-200-a-250kg/</t>
  </si>
  <si>
    <t>https://inahermex.com/wp-content/uploads/2022/08/A3NB40.1-1.png</t>
  </si>
  <si>
    <t>MT-1 CON PAD</t>
  </si>
  <si>
    <t>150 Kg</t>
  </si>
  <si>
    <t>Uso rudo / Antiderrapante</t>
  </si>
  <si>
    <t>M6×1.00, M8×1.25</t>
  </si>
  <si>
    <t>1/4"-20, 5/16"-18</t>
  </si>
  <si>
    <t>1.283"</t>
  </si>
  <si>
    <t>.335"</t>
  </si>
  <si>
    <t>1" a 4"</t>
  </si>
  <si>
    <t>• Adecuado para bancos de trabajo, mesas de producción y estaciones de inspección donde se necesita nivelación precisa sin perforaciones en el suelo.
• Uso en mobiliario industrial y estaciones de trabajo
• Ideal para equipos electrónicos, gabinetes eléctricos, impresoras industriales y maquinaria de ensamblaje que requieren estabilidad.
• Nivelador para maquinaria ligera.</t>
  </si>
  <si>
    <t>Uso rudo y fabricado en tu totalidad de acero.</t>
  </si>
  <si>
    <t>Acero galvanizado</t>
  </si>
  <si>
    <t>—</t>
  </si>
  <si>
    <t>https://inahermex.com/producto/nivelador-antiderrapante-de-uso-rudo-linea-mt-1-para-150-kg/</t>
  </si>
  <si>
    <t>https://inahermex.com/wp-content/uploads/2025/04/MT-1-CON-PAD-1.png</t>
  </si>
  <si>
    <t>MKD-2</t>
  </si>
  <si>
    <t>250 Kg</t>
  </si>
  <si>
    <t>Antiderrapante</t>
  </si>
  <si>
    <t>2"</t>
  </si>
  <si>
    <t>.870"</t>
  </si>
  <si>
    <t>• Ideal para brazos robóticos y líneas de ensamblaje, asegurando estabilidad en suelos con posibles desniveles.
• Reduce el ruido estructural y las vibraciones en compresores, trasnsportadores, motores eléctricos y sistemas de extracción de aire.
• Equipos de refrigeración y ventilación.</t>
  </si>
  <si>
    <t>Anti-vibración y antiderrapante.</t>
  </si>
  <si>
    <t>Caucho neopreno con dureza de 65° shore A +/- 5°</t>
  </si>
  <si>
    <t>https://inahermex.com/producto/nivelador-antiderrapante-mkd-2-100-a-150kg/</t>
  </si>
  <si>
    <t>https://inahermex.com/wp-content/uploads/2022/08/MKD-2-3.png</t>
  </si>
  <si>
    <t>MT-2 CON PAD</t>
  </si>
  <si>
    <t>.450"</t>
  </si>
  <si>
    <t>• Ideal para equipos electrónicos, gabinetes eléctricos, impresoras industriales y maquinaria de ensamblaje que requieren estabilidad sin fijación permanente.
• Soporte para maquinaria ligera y media.
• Líneas de producción con robots industriales para evitar interferencias por vibraciones.
• Uso en mobiliario industrial y estaciones de trabajo</t>
  </si>
  <si>
    <t>Antiderrapante, uso rudo y fabricado en tu totalidad de acero.</t>
  </si>
  <si>
    <t>https://inahermex.com/producto/nivelador-antiderrapante-mt-2-150-a-200kg/</t>
  </si>
  <si>
    <t>https://inahermex.com/wp-content/uploads/2022/08/MT2.png</t>
  </si>
  <si>
    <t>MTL-2 CON PAD</t>
  </si>
  <si>
    <t>M8×1.25</t>
  </si>
  <si>
    <t>5/16"-18, 3/8"-16</t>
  </si>
  <si>
    <t>.350"</t>
  </si>
  <si>
    <t>• Adecuado para bancos de trabajo, mesas de producción y estaciones de inspección donde se necesita nivelación precisa sin perforaciones en el suelo.
• Recomendado para básculas industriales, plataformas de pesaje y analizadores de laboratorio, permitiendo una base firme sin deslizamientos.
• Nivelación en plataformas de empaque, estaciones de pesaje y sistemas de manipulación de carga, asegurando estabilidad en procesos de distribución.</t>
  </si>
  <si>
    <t>Uso industrial, cuenta con PAD de neopreno y fabricado en tu totalidad de acero.</t>
  </si>
  <si>
    <t>https://inahermex.com/producto/nivelador-linea-mtl-2-con-pad-para-200-kg/</t>
  </si>
  <si>
    <t>https://inahermex.com/wp-content/uploads/2022/12/MTL-2-CON-PAD-1030x1030.png</t>
  </si>
  <si>
    <t>NS-1</t>
  </si>
  <si>
    <t>80 Kg</t>
  </si>
  <si>
    <t>1/4"-20</t>
  </si>
  <si>
    <t>1 1/8"</t>
  </si>
  <si>
    <t>1/2"</t>
  </si>
  <si>
    <t>1 1/2"</t>
  </si>
  <si>
    <t>• Proporciona una base estable y segura para básculas industriales y plataformas de pesaje de precisión.
• Mejora la estabilidad de bancos de trabajo, estaciones de producción y mesas de ensamblaje en entornos industriales.
• Dispositivos de medición y calibración.</t>
  </si>
  <si>
    <t>Antiderrapante.</t>
  </si>
  <si>
    <t>https://inahermex.com/producto/nivelador-antiderrapante-ns-1-80-kg/</t>
  </si>
  <si>
    <t>https://inahermex.com/wp-content/uploads/2022/08/NS1.png</t>
  </si>
  <si>
    <t>NS-10</t>
  </si>
  <si>
    <t>1.65"</t>
  </si>
  <si>
    <t>.600"</t>
  </si>
  <si>
    <t>• Mejora la estabilidad de bancos de trabajo, estaciones de producción y mesas de ensamblaje en entornos industriales.
• Básculas y sistemas de pesaje.
• Equipos electrónicos y gabinetes eléctricos.
• Mobiliario y estaciones de trabajo.</t>
  </si>
  <si>
    <t>https://inahermex.com/producto/nivelador-antiderrapante-linea-ns-10-para-120-kg/</t>
  </si>
  <si>
    <t>https://inahermex.com/wp-content/uploads/2022/12/NS10.png</t>
  </si>
  <si>
    <t>NS-11</t>
  </si>
  <si>
    <t>5/8"-11</t>
  </si>
  <si>
    <t>2 1/2"</t>
  </si>
  <si>
    <t>.750"</t>
  </si>
  <si>
    <t>2.800"</t>
  </si>
  <si>
    <t>• Cabinas acústicas, racks electrónicos y tableros de control.
• Máquinas de medición y equipos de laboratorio.
• Sistemas de empaque, etiquetado y automatización ligera.
• Estaciones de trabajo móviles o ajustables en piso liso.
• Equipos en pisos con recubrimientos delicados o antiestáticos.</t>
  </si>
  <si>
    <t>https://inahermex.com/producto/nivelador-antiderrapante-linea-ns-11-para-200-kg/</t>
  </si>
  <si>
    <t>https://inahermex.com/wp-content/uploads/2023/01/NS-11-OF.png</t>
  </si>
  <si>
    <t>NS-12</t>
  </si>
  <si>
    <t>3/8"-16</t>
  </si>
  <si>
    <t>1 5/8"</t>
  </si>
  <si>
    <t>1 3/4"</t>
  </si>
  <si>
    <t>• Estabilidad para camas de hospital, equipos de diagnóstico y estaciones de monitoreo, reduciendo deslizamientos en pisos clínicos.
• Uso en bancos de pesas, máquinas de ejercicio y plataformas de entrenamiento, proporcionando mejor agarre en superficies lisas.
• Ideal para gabinetes eléctricos, racks de servidores y mobiliario técnico, previniendo oscilaciones por vibraciones menores.</t>
  </si>
  <si>
    <t>https://inahermex.com/producto/nivelador-antiderrapante-linea-ns-12-para-150-kg/</t>
  </si>
  <si>
    <t>https://inahermex.com/wp-content/uploads/2025/03/NS-12-2.png</t>
  </si>
  <si>
    <t>NS-13</t>
  </si>
  <si>
    <t>3/4"</t>
  </si>
  <si>
    <t>Proporciona alta adherencia y absorción de vibraciones menores.</t>
  </si>
  <si>
    <t>https://inahermex.com/producto/nivelador-antiderrapante-linea-ns-13-para-150-kg/</t>
  </si>
  <si>
    <t>https://inahermex.com/wp-content/uploads/2026/02/NS13.png</t>
  </si>
  <si>
    <t>NS-2</t>
  </si>
  <si>
    <t>1.350"</t>
  </si>
  <si>
    <t>600"</t>
  </si>
  <si>
    <t>https://inahermex.com/producto/nivelador-antiderrapante-ns-2-100-kg/</t>
  </si>
  <si>
    <t>https://inahermex.com/wp-content/uploads/2022/08/NS2.png</t>
  </si>
  <si>
    <t>NS-3</t>
  </si>
  <si>
    <t>1/2"-13</t>
  </si>
  <si>
    <t>https://inahermex.com/producto/nivelador-antiderrapante-ns-3-150-kg/</t>
  </si>
  <si>
    <t>https://inahermex.com/wp-content/uploads/2022/08/NS-3-5.png</t>
  </si>
  <si>
    <t>NS-5</t>
  </si>
  <si>
    <t>.564"</t>
  </si>
  <si>
    <t>https://inahermex.com/producto/nivelador-antiderrapante-ns-5-180-kg/</t>
  </si>
  <si>
    <t>https://inahermex.com/wp-content/uploads/2022/08/NS5.png</t>
  </si>
  <si>
    <t>NS-6</t>
  </si>
  <si>
    <t>https://inahermex.com/producto/nivelador-antiderrapante-ns-6-150-kg/</t>
  </si>
  <si>
    <t>https://inahermex.com/wp-content/uploads/2022/08/NS-6-1.png</t>
  </si>
  <si>
    <t>NS-7</t>
  </si>
  <si>
    <t>50 Kg</t>
  </si>
  <si>
    <t>3/16"-24</t>
  </si>
  <si>
    <t>12 mm</t>
  </si>
  <si>
    <t>7 mm</t>
  </si>
  <si>
    <t>15 mm</t>
  </si>
  <si>
    <t>• Absorción de impactos en dispositivos de precisión.
• Soporte para vitrinas y exhibidores.
• Nivelador para gabinetes eléctricos y controladores electrónicos.</t>
  </si>
  <si>
    <t>https://inahermex.com/producto/nivelador-antiderrapante-ns-7-50-kg/</t>
  </si>
  <si>
    <t>https://inahermex.com/wp-content/uploads/2022/08/1-17-1030x1030.png</t>
  </si>
  <si>
    <t>NS-9</t>
  </si>
  <si>
    <t>M6×1.00</t>
  </si>
  <si>
    <t>25 mm</t>
  </si>
  <si>
    <t>10 mm</t>
  </si>
  <si>
    <t>• Pie de nivelación para básculas y equipos de pesaje.
• Absorción de impactos en equipos electrónicos.
• Nivelador para racks de servidores y paneles eléctricos.</t>
  </si>
  <si>
    <t>Acero inoxidable T-304</t>
  </si>
  <si>
    <t>https://inahermex.com/producto/nivelador-antiderrapante-ns-9-80-kg/</t>
  </si>
  <si>
    <t>https://inahermex.com/wp-content/uploads/2022/08/NS9.png</t>
  </si>
  <si>
    <t>SPORT</t>
  </si>
  <si>
    <t>• Uso en máquinas de entrenamiento, plataformas de peso y bancos de ejercicio, garantizando estabilidad y protección del suelo.
• Mejora la adherencia en archiveros, estaciones de trabajo y gabinetes industriales.
• Reduce el deslizamiento en stands comerciales, vitrinas y expositores de alto tráfico.</t>
  </si>
  <si>
    <t>https://inahermex.com/producto/nivelador-antiderrapante-sport-150-kg/</t>
  </si>
  <si>
    <t>https://inahermex.com/wp-content/uploads/2022/08/sport-2.png</t>
  </si>
  <si>
    <t>MF-338</t>
  </si>
  <si>
    <t>300 Kg</t>
  </si>
  <si>
    <t>Antivibratorio / Anclaje al piso</t>
  </si>
  <si>
    <t>M12×1.75, M14×2.00, M16×2.00, M18×2.50, M20×2.50, M24×3.00</t>
  </si>
  <si>
    <t>3/8"-16, 7/16"-14, 1/2"-13, 5/8"-11, 3/4"-10, 7/8"-9, 1"-8</t>
  </si>
  <si>
    <t>4.125"</t>
  </si>
  <si>
    <t>.900"</t>
  </si>
  <si>
    <t>• Equipos médicos y de laboratorio: Uso en mesas de laboratorio, microscopios y equipos de precisión donde se requiere aislamiento de vibraciones y protección de superficies.
• Líneas de producción con robots industriales para evitar interferencias por vibraciones.
• Máquinas de medición por coordenadas (CMM) y equipos de inspección óptica.</t>
  </si>
  <si>
    <t>https://inahermex.com/producto/nivelador-antivibratorio-con-anclaje-al-piso-linea-mf-338-para-300-kg/</t>
  </si>
  <si>
    <t>https://inahermex.com/wp-content/uploads/2025/07/MF338.png</t>
  </si>
  <si>
    <t>M-338</t>
  </si>
  <si>
    <t>3.38"</t>
  </si>
  <si>
    <t>https://inahermex.com/producto/nivelador-antivibratorio-m-338-250-a-300-kg/</t>
  </si>
  <si>
    <t>https://inahermex.com/wp-content/uploads/2022/08/M-338.1.png</t>
  </si>
  <si>
    <t>M-400</t>
  </si>
  <si>
    <t>500 Kg</t>
  </si>
  <si>
    <t>M12×1.75, M14×2.00, M16×2.00, M18×2.50, M20×2.50</t>
  </si>
  <si>
    <t>1/2"-13, 5/8"-11, 3/4"-10, 7/8"-9, 1"-8</t>
  </si>
  <si>
    <t>4"</t>
  </si>
  <si>
    <t>1"</t>
  </si>
  <si>
    <t>3" a 10"</t>
  </si>
  <si>
    <t>• Líneas de producción y bandas transportadoras: Absorbiendo impactos mecánicos y
• Reduce vibraciones en sistemas de refrigeración, ventilación y compresores
• Asegura estabilidad en brazos robóticos y líneas de ensamblaje automatizadas.</t>
  </si>
  <si>
    <t>Antiderrapante y anti-vibratorio para maquinaría y equipos industriales.</t>
  </si>
  <si>
    <t>https://inahermex.com/producto/nivelador-antivibratorio-m-400-500-kg/</t>
  </si>
  <si>
    <t>https://inahermex.com/wp-content/uploads/2022/08/M-400-3.png</t>
  </si>
  <si>
    <t>MKDR-3</t>
  </si>
  <si>
    <t>Rótula / Antivibratorio</t>
  </si>
  <si>
    <t>1/2"-13, 5/8"-11, 3/4"-10</t>
  </si>
  <si>
    <t>3"</t>
  </si>
  <si>
    <t>1.250"</t>
  </si>
  <si>
    <t>• Maquinaria instalada en superficies inclinadas o irregulares.
• Equipos de automatización que requieren ajuste angular y alta estabilidad.
• Instalación de gabinetes, controladores o bancos de prueba en piso desnivelado.
• Líneas de producción con robots industriales para evitar interferencias por</t>
  </si>
  <si>
    <t>Para superficies irregulares, anti-vibración y antiderrapante.</t>
  </si>
  <si>
    <t>https://inahermex.com/producto/nivelador-articulado-anti-vibracion-linea-mkdr-3-para-300-kg/</t>
  </si>
  <si>
    <t>https://inahermex.com/wp-content/uploads/2022/10/mkdr.png</t>
  </si>
  <si>
    <t>MTR-2 CON PAD</t>
  </si>
  <si>
    <t>M12×1.75, M14×2.00, M16×2.00</t>
  </si>
  <si>
    <t>1/2"-13, 5/8"-11</t>
  </si>
  <si>
    <t>.400"</t>
  </si>
  <si>
    <t>2" a 4"</t>
  </si>
  <si>
    <t>• Sistemas de Pesaje y Básculas Industriales.
• Equipos de Impresión y Grabado.
• Equipos de Energía y Generadores.
• Mesas de trabajo, estructuras metálicas o racks industriales.
• Equipos que requieren ajuste básico en pisos con ligeras pendientes.</t>
  </si>
  <si>
    <t>Articulado que se ajusta a pendientes, uso industrial y fabricado en tu totalidad de acero galvanizado.</t>
  </si>
  <si>
    <t>https://inahermex.com/producto/nivelador-articulado-linea-mtr-2-con-pad-para-200-kg/</t>
  </si>
  <si>
    <t>https://inahermex.com/wp-content/uploads/2022/12/MTR2-CON-PAD.png</t>
  </si>
  <si>
    <t>MTR-2</t>
  </si>
  <si>
    <t>https://inahermex.com/producto/nivelador-articulado-mtr-2-150-a-200kg/</t>
  </si>
  <si>
    <t>https://inahermex.com/wp-content/uploads/2022/08/MTR2-1.png</t>
  </si>
  <si>
    <t>LTC-2</t>
  </si>
  <si>
    <t>Anclaje al piso</t>
  </si>
  <si>
    <t>.850"</t>
  </si>
  <si>
    <t>• Proporciona fijación estable en prensas de impresión offset, flexográficas y equipos de
• Aplicable en centrífugas, microscopios electrónicos y estaciones de análisis clínico,
• Equipos compactos que requieren fijación estable en pisos lisos
• Mesas de inspección, control de calidad o estaciones de ensamble</t>
  </si>
  <si>
    <t>Anti-vibración, antiderrapante y cuenta con anclaje al piso.</t>
  </si>
  <si>
    <t>https://inahermex.com/producto/nivelador-con-fijacion-al-piso-ltc-2-150-a-200-kg/</t>
  </si>
  <si>
    <t>https://inahermex.com/wp-content/uploads/2022/08/LTC-2-2-1030x1030.png</t>
  </si>
  <si>
    <t>MTA-120</t>
  </si>
  <si>
    <t>18 mm</t>
  </si>
  <si>
    <t>• Estaciones de producción o ensamble con requerimientos de fijación segura.
• Maquinaria auxiliar en líneas de manufactura que opera en ciclos prolongados.
• Montaje de maquinaria en zonas de paso o donde se prioriza la seguridad del anclaje.
• Base de anclaje para stands comerciales y mobiliario técnico.</t>
  </si>
  <si>
    <t>cuenta con anclaje a suelo, uso industrial y fabricado en tu totalidad de acero.</t>
  </si>
  <si>
    <t>https://inahermex.com/producto/nivelador-con-anclaje-al-piso-mta-120-200-a-250kg/</t>
  </si>
  <si>
    <t>https://inahermex.com/wp-content/uploads/2022/08/MTA.png</t>
  </si>
  <si>
    <t>HV-3</t>
  </si>
  <si>
    <t>Rótula / Antiderrapante</t>
  </si>
  <si>
    <t>M10×1.50, M12×1.75, M14×2.00, M16×2.00, M18×2.50, M20×2.50</t>
  </si>
  <si>
    <t>3/8"-16, 7/16"-14, 1/2"-13, 5/8"-11, 3/4"-10</t>
  </si>
  <si>
    <t>.800"</t>
  </si>
  <si>
    <t>• Equipos industriales que requieren nivelación sin anclaje, como mesas de trabajo y estaciones de ensamble.
• Gabinetes eléctricos, racks de control y sistemas de automatización instalados en planta.
• Transportadores ligeros o módulos de producción que deben mantenerse estables sin fijación permanente.</t>
  </si>
  <si>
    <t>Rótula articulada que permite autoalineación hasta 15°, asegurando contacto uniforme en superficies irregulares. Su pad antiderrapante integrado mejora la adherencia al piso.</t>
  </si>
  <si>
    <t>https://inahermex.com/producto/nivelador-con-rotula-antiderrapante-hv-3-para-300kg/</t>
  </si>
  <si>
    <t>https://inahermex.com/wp-content/uploads/2026/02/2-VISTAS-2.png</t>
  </si>
  <si>
    <t>MR-338</t>
  </si>
  <si>
    <t>.960"</t>
  </si>
  <si>
    <t>• Nivelación y soporte antivibratorio en maquinaria ligera-mediana y de precisión.
• Uso en sistemas de manufactura automatizada, asegurando una fijación estable al suelo.
• Soporte con rótula para autoajuste en superficies inclinadas e irregulares.</t>
  </si>
  <si>
    <t>Anti-vibración, antiderrapante y articulado.</t>
  </si>
  <si>
    <t>https://inahermex.com/producto/nivelador-con-rotula-antivibratorio-linea-mr-338-400-de-300-a-500-kg/</t>
  </si>
  <si>
    <t>https://inahermex.com/wp-content/uploads/2026/02/1-14.png</t>
  </si>
  <si>
    <t>MR-400</t>
  </si>
  <si>
    <t>https://inahermex.com/producto/nivelador-con-rotula-antivibratorio-linea-mr-400-de-500-kg/</t>
  </si>
  <si>
    <t>R-3</t>
  </si>
  <si>
    <t>Rótula / Anclaje al piso</t>
  </si>
  <si>
    <t>• Equipos industriales que requieren nivelación con fijación al piso, como mesas de ensamble o estaciones automatizadas.
• Maquinaria ligera y mediana instalada en superficies con irregularidades, evitando puntos de apoyo inestables.
• Transportadores industriales y bandas modulares con necesidad de ajuste y anclaje estructural.</t>
  </si>
  <si>
    <t>Integra sistema de anclaje al piso para fijación permanente, proporcionando máxima estabilidad estructural en equipos industriales sometidos a carga estática.</t>
  </si>
  <si>
    <t>https://inahermex.com/producto/nivelador-con-rotula-con-anclaje-al-piso-r-3-para-300kg/</t>
  </si>
  <si>
    <t>https://inahermex.com/wp-content/uploads/2026/02/R3-DOS-VISTAS.png</t>
  </si>
  <si>
    <t>R-4</t>
  </si>
  <si>
    <t>7/16"-14, 1/2"-13, 5/8"-11, 3/4"-10</t>
  </si>
  <si>
    <t>• Ideal para equipos industriales en industria automotriz, metalmecánica, electrónica y manufactura general.
• Estabiliza equipos de ensamblaje de componentes aeronáuticos, plataformas de inspección y bancos de pruebas de motores.
• Optimiza la precisión en básculas electrónicas, plataformas de pesaje y sistemas de conteo en aplicaciones industriales.
• Instalación en líneas de producción donde se requiere estabilidad sobre superficies irregulares.</t>
  </si>
  <si>
    <t>https://inahermex.com/producto/nivelador-con-rotula-con-anclaje-al-piso-r-4-300-kg/</t>
  </si>
  <si>
    <t>https://inahermex.com/wp-content/uploads/2022/08/R-4-6.png</t>
  </si>
  <si>
    <t>A3N30</t>
  </si>
  <si>
    <t>M8×1.25, M10×1.50, M12×1.75</t>
  </si>
  <si>
    <t>5/16"-18, 3/8"-16, 7/16"-14, 1/2"-13</t>
  </si>
  <si>
    <t>30 mm</t>
  </si>
  <si>
    <t>16 mm</t>
  </si>
  <si>
    <t>https://inahermex.com/producto/nivelador-con-rotula-a3n30-150-a-200kg/</t>
  </si>
  <si>
    <t>https://inahermex.com/wp-content/uploads/2022/08/A3N30-3-1030x1030.png</t>
  </si>
  <si>
    <t>A3N50</t>
  </si>
  <si>
    <t>50 mm</t>
  </si>
  <si>
    <t>21 mm</t>
  </si>
  <si>
    <t>• Líneas de Producción y Sistemas de Transporte Industrial.
• Mejora la estabilidad de brazos robóticos y transportadores automatizados.
• Uso en máquinas de medición por coordenadas (CMM) y espectrómetros
• Equipos periféricos en líneas de producción: dispensadores, alimentadores
• Bases de controladores, PLCs o tableros en áreas de producción.</t>
  </si>
  <si>
    <t>https://inahermex.com/producto/nivelador-con-rotula-a3n50-250-a-300kg/</t>
  </si>
  <si>
    <t>https://inahermex.com/wp-content/uploads/2022/08/A3N50.1-1030x1030.png</t>
  </si>
  <si>
    <t>A3NB80</t>
  </si>
  <si>
    <t>80 mm</t>
  </si>
  <si>
    <t>18mm</t>
  </si>
  <si>
    <t>• Industria alimentaria y farmacéutica: Aplicación en mesas de trabajo, bandas transportadoras y equipos de procesamiento con requisitos de higiene y estabilidad.
• Equipos médicos y de laboratorio: Uso en mesas de laboratorio, microscopios y equipos de precisión.
• Robótica y automatización: Nivelación de robots colaborativos y brazos mecánicos en celdas de trabajo, garantizando precisión en sus movimientos.</t>
  </si>
  <si>
    <t>Nylon reforzado (poliamida)</t>
  </si>
  <si>
    <t>https://inahermex.com/producto/nivelador-con-rotula-a3nb8-0350-kg/</t>
  </si>
  <si>
    <t>https://inahermex.com/wp-content/uploads/2022/08/LINEA-A3NB80-2-1030x1030.png</t>
  </si>
  <si>
    <t>YS-2</t>
  </si>
  <si>
    <t>800 Kg</t>
  </si>
  <si>
    <t>.688"</t>
  </si>
  <si>
    <t>• Instalación en mesas de medición, equipos de calibración y dispositivos de control de calidad.
• Nivelación y fijación de maquinaria pesada y de precisión.
• Uso en estanterías y racks industriales, asegurando estabilidad en suelos irregulares.
• Protección de superficies en laboratorios y hospitales, evitando daños en pisos delicados.
• Soporte de básculas de pesaje y plataformas de carga en centros de distribución.</t>
  </si>
  <si>
    <t>Fabricado con acero solido y articulado para pisos irregulares.</t>
  </si>
  <si>
    <t>https://inahermex.com/producto/nivelador-con-rotula-linea-ys-2-para-800-kg/</t>
  </si>
  <si>
    <t>https://inahermex.com/wp-content/uploads/2026/02/1-15.png</t>
  </si>
  <si>
    <t>HZ-3</t>
  </si>
  <si>
    <t>1200 Kg</t>
  </si>
  <si>
    <t>Rótula / Anclaje al piso / Alta resistencia</t>
  </si>
  <si>
    <t>• Soporte robusto en bandas transportadoras, mesas de ensamblaje y líneas de producción de alta velocidad, asegurando nivelación y estabilidad.</t>
  </si>
  <si>
    <t>https://inahermex.com/producto/nivelador-de-acero-con-rotula-con-anclaje-al-piso-hz-3-para-1200kg/</t>
  </si>
  <si>
    <t>https://inahermex.com/wp-content/uploads/2026/05/HZ-3.png</t>
  </si>
  <si>
    <t>NRT-3</t>
  </si>
  <si>
    <t>https://inahermex.com/producto/nivelador-de-acero-con-rotula-con-anclaje-al-piso-nrt-3-para-1000kg/</t>
  </si>
  <si>
    <t>https://inahermex.com/wp-content/uploads/2023/05/nrt-1.png</t>
  </si>
  <si>
    <t>NR-2</t>
  </si>
  <si>
    <t>Rótula / Alta resistencia</t>
  </si>
  <si>
    <t>• Soporte robusto en bandas transportadoras, mesas de ensamblaje y líneas de producción automatizadas, asegurando nivelación y estabilidad.
• Opción en acero inoxidable T-304, ideal para procesos de producción con altos estándares de higiene y seguridad.</t>
  </si>
  <si>
    <t>https://inahermex.com/producto/nivelador-con-rotula-nr-2-para-600kg/</t>
  </si>
  <si>
    <t>https://inahermex.com/wp-content/uploads/2023/03/NR2-1030x1030.png</t>
  </si>
  <si>
    <t>NR-3</t>
  </si>
  <si>
    <t>• Soporte industrial para bandas transportadoras y ensamblaje automotriz
• Pie de nivelación para generadores industriales y turbinas energéticas
• Nivelador de alta resistencia para equipos de pesaje y extrusión de plásticos.
• Equipos industriales instalados en pisos con desnivel que requieren alineación fina y máxima resistencia.</t>
  </si>
  <si>
    <t>https://inahermex.com/producto/nivelador-de-acero-con-rotula-nr-3-para-1000kg/</t>
  </si>
  <si>
    <t>https://inahermex.com/wp-content/uploads/2023/05/NR3-1030x1030.png</t>
  </si>
  <si>
    <t>YS-3</t>
  </si>
  <si>
    <t>https://inahermex.com/producto/nivelador-de-acero-con-rotula-ys-3-para-1200kg/</t>
  </si>
  <si>
    <t>https://inahermex.com/wp-content/uploads/2025/07/YS-3-1-1030x1030.png</t>
  </si>
  <si>
    <t>KT-3</t>
  </si>
  <si>
    <t>1500-2000 Kg</t>
  </si>
  <si>
    <t>Alta resistencia / Antiderrapante</t>
  </si>
  <si>
    <t>• Aplicado en bancos de pruebas de motores, estaciones de ensamblaje de chasis y maquinaria de soldadura automotriz, asegurando una base firme.
• Soporte en cortadoras láser de alta precisión, mesas de plasma CNC y sistemas de corte por chorro de agua, evitando desajustes y mejorando la precisión del corte.
• Uso en plataformas de inspección, robots de ensamblaje y estaciones de calidad, garantizando una base firme para operaciones de precisión.</t>
  </si>
  <si>
    <t>Nivelador de acero solido para grandes cargas</t>
  </si>
  <si>
    <t>https://inahermex.com/producto/nivelador-de-alta-resistencia-antiderrapante-linea-kt-3-para-1500-a-2000-kg/</t>
  </si>
  <si>
    <t>https://inahermex.com/wp-content/uploads/2023/03/KT-3-1030x1030.png</t>
  </si>
  <si>
    <t>KX-3</t>
  </si>
  <si>
    <t>2500 Kg</t>
  </si>
  <si>
    <t>• Equipos de corte industrial por láser, plasma o chorro de agua de gran formato.
• Estructuras fijas que requieren máxima estabilidad sobre superficies desniveladas.
• Soporte para transportadores de banda o rodillos en manejo de materiales
• Estaciones automatizadas de carga y descarga con alta exigencia estructural.
• Líneas de ensamble estructural que demandan una base sólida, precisa y</t>
  </si>
  <si>
    <t>Nivelador de acero solido para grandes cargas.</t>
  </si>
  <si>
    <t>https://inahermex.com/producto/nivelador-de-alta-resistencia-antiderrapante-linea-kx-3-para-1500-a-2000-kg/</t>
  </si>
  <si>
    <t>https://inahermex.com/wp-content/uploads/2023/03/KX-3-3-1030x1030.png</t>
  </si>
  <si>
    <t>ZK-3</t>
  </si>
  <si>
    <t>https://inahermex.com/producto/nivelador-de-alta-resistencia-antiderrapante-linea-zk-3-para-1500-a-2000-kg/</t>
  </si>
  <si>
    <t>https://inahermex.com/wp-content/uploads/2023/03/ZK-3-3-1030x1030.png</t>
  </si>
  <si>
    <t>CFD-4</t>
  </si>
  <si>
    <t>5000 Kg</t>
  </si>
  <si>
    <t>Alta resistencia / Anclaje al piso</t>
  </si>
  <si>
    <t>Nivelador de acero sólido para grandes cargas, cuenta con dos barrenos para fijar al piso.</t>
  </si>
  <si>
    <t>Acero galvanizado o acero inoxidable T-304</t>
  </si>
  <si>
    <t>https://inahermex.com/producto/nivelador-de-alta-resistencia-con-anclaje-al-piso-linea-cfd-4-para-1500-a-4000-kg/</t>
  </si>
  <si>
    <t>https://inahermex.com/wp-content/uploads/2022/09/CFD-4-1-1030x1030.png</t>
  </si>
  <si>
    <t>DMH-124</t>
  </si>
  <si>
    <t>2000 Kg</t>
  </si>
  <si>
    <t>124 mm</t>
  </si>
  <si>
    <t>41 mm</t>
  </si>
  <si>
    <t>• Soporte en transportadores de banda, mesas de trabajo ajustables y plataformas de carga, proporcionando estabilidad y absorción de impactos.
• Nivelación en brazos robóticos, estaciones de ensamblaje y sistemas de producción automatizados, reduciendo desplazamientos no deseados.
• Aplicable en mesas de soldadura, estaciones de prueba y líneas de ensamblaje de circuitos electrónicos.</t>
  </si>
  <si>
    <t>Anclaje al piso y soporta grandes cargas.</t>
  </si>
  <si>
    <t>https://inahermex.com/producto/nivelador-de-alta-resistencia-con-fijacion-al-piso-dmh-124-1500-kg/</t>
  </si>
  <si>
    <t>https://inahermex.com/wp-content/uploads/2022/08/DMH.png</t>
  </si>
  <si>
    <t>3P-50</t>
  </si>
  <si>
    <t>Alta resistencia</t>
  </si>
  <si>
    <t>• Aplicado en ensamblaje de robots industriales, estaciones de calibración de sensores y sistemas de automatización avanzada.
• Aplicable en líneas de ensamblaje de chasis, sistemas de pruebas de componentes estructurales y estaciones de control de calidad.
• Uso en fabricación de barandillas de seguridad, ensamblaje de protecciones industriales y estaciones de prueba de resistencia estructural.</t>
  </si>
  <si>
    <t>https://inahermex.com/producto/nivelador-de-alta-resistencia-linea-3p-2-para-600-a-1200-kg/</t>
  </si>
  <si>
    <t>https://inahermex.com/wp-content/uploads/2023/04/3P-50-1030x1030.png</t>
  </si>
  <si>
    <t>INX-3</t>
  </si>
  <si>
    <t>• Equipos de corte industrial por láser, plasma o chorro de agua de gran formato.
• Estructuras fijas que requieren máxima estabilidad sobre superficies desniveladas.
• Estaciones automatizadas de carga y descarga con alta exigencia estructural.
• Líneas de ensamble estructural que demandan una base sólida, precisa y</t>
  </si>
  <si>
    <t>Nivelador de acero solido para grandes cargas y antiderrapante.</t>
  </si>
  <si>
    <t>https://inahermex.com/producto/nivelador-de-alta-resistencia-inoxidable-inx-3-500-a-2000kg/</t>
  </si>
  <si>
    <t>https://inahermex.com/wp-content/uploads/2022/08/INX-3-1-1030x1030.png</t>
  </si>
  <si>
    <t>KTL-3</t>
  </si>
  <si>
    <t>• Equipos de corte industrial por láser, plasma o chorro de agua de gran formato.
• Estructuras fijas que requieren máxima estabilidad sobre superficies desniveladas.
• Soporte para transportadores de banda o rodillos en manejo de materiales pesados.
• Estaciones automatizadas de carga y descarga con alta exigencia estructural.
• Líneas de ensamble estructural que demandan una base sólida, precisa y confiable para módulos de trabajo, equipos automatizados o sistemas de manipulación</t>
  </si>
  <si>
    <t>https://inahermex.com/producto/nivelador-de-alta-resistencia-antiderrapante-linea-ktl-3-para-1500-a-2000-kg/</t>
  </si>
  <si>
    <t>https://inahermex.com/wp-content/uploads/2023/03/KTL-3-1-1030x1030.png</t>
  </si>
  <si>
    <t>LE-2</t>
  </si>
  <si>
    <t>1500 Kg</t>
  </si>
  <si>
    <t>.314"</t>
  </si>
  <si>
    <t>• Nivelación de maquinaria ligera y mediana, proporcionando estabilidad en suelos irregulares.
• Uso en estanterías metálicas y racks de almacenamiento, asegurando una distribución uniforme de la carga.
• Montaje en sistemas de producción y líneas de ensamble, optimizando estabilidad y seguridad operativa.</t>
  </si>
  <si>
    <t>https://inahermex.com/producto/nivelador-de-alta-resistencia-linea-le-2-para-1500-kg/</t>
  </si>
  <si>
    <t>https://inahermex.com/wp-content/uploads/2025/03/LE-2-1-1030x1030.png</t>
  </si>
  <si>
    <t>MLR-3</t>
  </si>
  <si>
    <t>.787"</t>
  </si>
  <si>
    <t>• Equipos de corte industrial por láser, plasma o chorro de agua de gran formato.
• Estructuras fijas que requieren máxima estabilidad sobre superficies desniveladas.
• Soporte para transportadores de banda o rodillos en manejo de materiales pesados.
• Estaciones automatizadas de carga y descarga con alta exigencia estructural.
• Líneas de ensamble estructural que demandan una base sólida, precisa y confiable para módulos de trabajo, equipos automatizados o sistemas de manipulación.</t>
  </si>
  <si>
    <t>nivelador de acero solido para grandes cargas.</t>
  </si>
  <si>
    <t>https://inahermex.com/producto/nivelador-de-alta-resistencia-inoxidable-mlr-3-500-a-2000kg/</t>
  </si>
  <si>
    <t>https://inahermex.com/wp-content/uploads/2022/08/1-53-1030x1030.png</t>
  </si>
  <si>
    <t>TPE-1</t>
  </si>
  <si>
    <t>7/16"-14, 1/2"-13, 5/8"-11</t>
  </si>
  <si>
    <t>1 3/8"</t>
  </si>
  <si>
    <t>• Nivelación de maquinaria ligera y mediana, proporcionando estabilidad en suelos irregulares.
• Uso en estanterías metálicas y racks de almacenamiento, asegurando una distribución uniforme de la carga.
• Montaje en sistemas de producción y líneas de ensamble, optimizando estabilidad y seguridad operativa.
• Opción económica para instalaciones industriales y comerciales, con alta capacidad de carga a un costo accesible.</t>
  </si>
  <si>
    <t>https://inahermex.com/producto/nivelador-de-alta-resistencia-linea-tpe-1-para-1200-kg/</t>
  </si>
  <si>
    <t>https://inahermex.com/wp-content/uploads/2025/03/TPE-1-1-1030x1030.png</t>
  </si>
  <si>
    <t>TPE-3</t>
  </si>
  <si>
    <t>• Aplicable en laminadoras, prensas hidráulicas y sistemas de corte de precisión, optimizando estabilidad y alineación estructural.
• Nivelación en hornos rotativos, molinos de cemento y sistemas de molienda de clinker, asegurando alineación en procesos de alta exigencia.
• Aplicado en montacargas de alto tonelaje, plataformas de carga y grúas industriales, mejorando estabilidad en suelos industriales.</t>
  </si>
  <si>
    <t>https://inahermex.com/producto/nivelador-de-alta-resistencia-1500-a-4000kg/</t>
  </si>
  <si>
    <t>https://inahermex.com/wp-content/uploads/2022/08/TPE-4-1030x1030.png</t>
  </si>
  <si>
    <t>TPE-4</t>
  </si>
  <si>
    <t>https://inahermex.com/producto/nivelador-de-alta-resistencia-linea-tpe-4-para-2000-a-4000-kg/</t>
  </si>
  <si>
    <t>https://inahermex.com/wp-content/uploads/2022/09/TPE4.png</t>
  </si>
  <si>
    <t>IMH</t>
  </si>
  <si>
    <t>Uso rudo</t>
  </si>
  <si>
    <t>1/4"-20, 5/16"-18, 3/8"-16</t>
  </si>
  <si>
    <t>0.98" (1/4"), 1.200" (5/16"), 1.315" (3/8")</t>
  </si>
  <si>
    <t>.040" (1/4"), .050" (5/16"), .080" (3/8")</t>
  </si>
  <si>
    <t>• Uso en racks de almacenamiento, estanterías metálicas y mesas de trabajo industriales, proporcionando estabilidad en superficies irregulares.
• Aplicable en soportes para exhibición, vitrinas industriales y stands de feria, asegurando nivelación adecuada en distintos tipos de suelos.
• Nivelación en mesas de trabajo para herramientas, estaciones de reparación y bancadas de trabajo, permitiendo ajustes precisos para cada operación.</t>
  </si>
  <si>
    <t>Nivelador de acero de uso industrial, utilizado para estantería y muebles industriales, es una opción económica y es única medida.</t>
  </si>
  <si>
    <t>https://inahermex.com/producto/nivelador-de-uso-rudo-imh-para-150-a-200-kg/</t>
  </si>
  <si>
    <t>https://inahermex.com/wp-content/uploads/2022/09/IMH-2.png</t>
  </si>
  <si>
    <t>MT-1</t>
  </si>
  <si>
    <t>https://inahermex.com/producto/nivelador-de-uso-rudo-linea-mt-1-para-170-kg/</t>
  </si>
  <si>
    <t>https://inahermex.com/wp-content/uploads/2023/01/MT-1-1-1030x1030.png</t>
  </si>
  <si>
    <t>MT-2</t>
  </si>
  <si>
    <t>https://inahermex.com/producto/nivelador-de-uso-rudo-mt-2-150-a-200kg/</t>
  </si>
  <si>
    <t>https://inahermex.com/wp-content/uploads/2022/08/MT2-1.png</t>
  </si>
  <si>
    <t>MKD-3</t>
  </si>
  <si>
    <t>400 Kg</t>
  </si>
  <si>
    <t>• Uso en bancos de pruebas, máquinas de medición por coordenadas (CMM) y estaciones de calibración óptica, proporcionando estabilidad en mediciones de precisión.
• Uso en bancos de pruebas, máquinas de medición por coordenadas (CMM) y estaciones de calibración óptica, proporcionando estabilidad en mediciones de precisión.
• Uso en máquinas de cosido, cortadoras láser para textiles y sistemas de impresión digital, minimizando movimientos indeseados.</t>
  </si>
  <si>
    <t>https://inahermex.com/producto/nivelador-antiderrapante-linea-mkd-3-para-350-kg/</t>
  </si>
  <si>
    <t>https://inahermex.com/wp-content/uploads/2022/10/MKD-3-1030x1030.png</t>
  </si>
  <si>
    <t>DB-04</t>
  </si>
  <si>
    <t>• Soporte robusto en bandas transportadoras, mesas de ensamblaje y líneas de producción automatizadas, reduciendo vibraciones y garantizando estabilidad continua.
• Opción en acero inoxidable T-304, ideal para entornos sanitarios en líneas de producción de alimentos, reactores químicos y mezcladores farmacéuticos.</t>
  </si>
  <si>
    <t>Nivelador articulado que se ajuste a pendientes y antiderrapante.</t>
  </si>
  <si>
    <t>https://inahermex.com/producto/nivelador-con-rotula-antiderrapante-db-04-300-kg/</t>
  </si>
  <si>
    <t>https://inahermex.com/wp-content/uploads/2022/08/DB-1030x1030.png</t>
  </si>
  <si>
    <t>MBR-450</t>
  </si>
  <si>
    <t>600 Kg</t>
  </si>
  <si>
    <t>3/16"</t>
  </si>
  <si>
    <t>• Uso en mesas de preparación, anaqueles de almacenamiento y carros de servicio, garantizando un soporte seguro en entornos comerciales.
• Aplicado en sistemas de almacenamiento de carga media y estanterías metálicas, asegurando fijación firme en suelos de concreto.
• Nivelación en plataformas de empaque, estaciones de pesaje y sistemas de manipulación de carga, asegurando estabilidad en procesos de distribución.</t>
  </si>
  <si>
    <t>Nivelador solido de acero con anclaje al piso.</t>
  </si>
  <si>
    <t>https://inahermex.com/producto/nivelador-industrial-con-fijacion-mbr-450-300-kg/</t>
  </si>
  <si>
    <t>https://inahermex.com/wp-content/uploads/2022/08/MBR-1-1030x1030.png</t>
  </si>
  <si>
    <t>MLC-3</t>
  </si>
  <si>
    <t>• Aplicado en sistemas de almacenamiento de carga media y estanterías metálicas, asegurando fijación firme en suelos de concreto.
• Uso en mesas de preparación, anaqueles de almacenamiento y carros de servicio, garantizando un soporte seguro en entornos comerciales.</t>
  </si>
  <si>
    <t>Nivelador sólido de acero con anclaje al piso.</t>
  </si>
  <si>
    <t>https://inahermex.com/producto/nivelador-industrial-con-fijacion-mlc-3-300-kg/</t>
  </si>
  <si>
    <t>https://inahermex.com/wp-content/uploads/2022/08/1.4-1030x1030.png</t>
  </si>
  <si>
    <t>MS-3</t>
  </si>
  <si>
    <t>https://inahermex.com/producto/nivelador-industrial-con-anclaje-al-piso-linea-ms-3-para-300-kg/</t>
  </si>
  <si>
    <t>https://inahermex.com/wp-content/uploads/2023/06/MS-3-1030x1030.png</t>
  </si>
  <si>
    <t>MT-3</t>
  </si>
  <si>
    <t>3.5"</t>
  </si>
  <si>
    <t>Cuenta con 4 barrenos para fijar al suelo.</t>
  </si>
  <si>
    <t>https://inahermex.com/producto/nivelador-industrial-con-anclaje-al-piso-mt-3-300-a-400kg/</t>
  </si>
  <si>
    <t>https://inahermex.com/wp-content/uploads/2022/08/MT-3-1030x1030.png</t>
  </si>
  <si>
    <t>R-4 FIJO</t>
  </si>
  <si>
    <t>Nivelador articulado que se ajuste a pendientes y cuenta con anclaje al suelo.</t>
  </si>
  <si>
    <t>Nylon reforzado</t>
  </si>
  <si>
    <t>https://inahermex.com/producto/nivelador-industrial-r-4-fijo-300-kg/</t>
  </si>
  <si>
    <t>https://inahermex.com/wp-content/uploads/2022/08/r4-fijo.png</t>
  </si>
  <si>
    <t>DB-04 FIJO</t>
  </si>
  <si>
    <t>• Aplicado en mesas de ensamblaje de circuitos, estaciones de soldadura y racks de prueba de PCBs, asegurando alineación exacta.
• Aplicable en mesas de inspección, estaciones de procesamiento y equipos de pesaje, proporcionando estabilidad en entornos higiénicos.
• Aplicado en mesas de investigación, estaciones de calibración de dispositivos médicos y fabricación de prótesis, garantizando soporte sin deslizamientos.</t>
  </si>
  <si>
    <t>https://inahermex.com/producto/nivelador-industrial-anti-derrapante-db-04-300-kg/</t>
  </si>
  <si>
    <t>https://inahermex.com/wp-content/uploads/2022/08/DB-FIJO-1030x1030.png</t>
  </si>
  <si>
    <t>A3N50 FIJO</t>
  </si>
  <si>
    <t>Antiderrapante, base de nylon y uso industrial.</t>
  </si>
  <si>
    <t>https://inahermex.com/producto/nivelador-industrial-a3n50-fijo-250-a-300kg/</t>
  </si>
  <si>
    <t>https://inahermex.com/wp-content/uploads/2022/08/A3N50-FIJO-J-1030x1030.png</t>
  </si>
  <si>
    <t>MT-3 ANTIDERRAPANTE</t>
  </si>
  <si>
    <t>https://inahermex.com/producto/nivelador-industrial-linea-mt-3-antiderrapante-para-300-a-400-kg/</t>
  </si>
  <si>
    <t>https://inahermex.com/wp-content/uploads/2025/02/MT-3-1030x1030.png</t>
  </si>
  <si>
    <t>MD-880</t>
  </si>
  <si>
    <t>88 mm</t>
  </si>
  <si>
    <t>• Aplicado en bases de compresores, sistemas de ventilación y equipos de climatización industrial, optimizando soporte.
• Soporte en máquinas de llenado, etiquetado y sellado automático, evitando deslizamientos.
• Aplicado en sistemas de racks, plataformas de carga y estructuras metálicas, asegurando una base firme.</t>
  </si>
  <si>
    <t>Anti-vibratorio para maquinaria industrial.</t>
  </si>
  <si>
    <t>https://inahermex.com/producto/pata-niveladora-antivibracion-md-880-500-kg/</t>
  </si>
  <si>
    <t>https://inahermex.com/wp-content/uploads/2022/08/MD880-1030x1030.png</t>
  </si>
  <si>
    <t>MV-700</t>
  </si>
  <si>
    <t>350 Kg</t>
  </si>
  <si>
    <t>70 mm</t>
  </si>
  <si>
    <t>• Aplicable en mesas de inspección, estaciones de medición óptica y laboratorios de ensamble, optimizando precisión.
• Soporte en máquinas de llenado, etiquetado y sellado automático, evitando deslizamientos.
• Aplicado en sistemas de racks, plataformas de carga y estructuras metálicas, asegurando una base firme.</t>
  </si>
  <si>
    <t>Nivelador roscado, antivibratorio y antiderrapante.</t>
  </si>
  <si>
    <t>https://inahermex.com/producto/pata-niveladora-antivibracion-mv-700-350-kg/</t>
  </si>
  <si>
    <t>https://inahermex.com/wp-content/uploads/2022/08/MV-700-1-1030x1030.png</t>
  </si>
  <si>
    <t>MLK-3</t>
  </si>
  <si>
    <t>Fabricado en aluminio solido y cuenta con Pad antiderrapante de neopreno.</t>
  </si>
  <si>
    <t>Aluminio</t>
  </si>
  <si>
    <t>https://inahermex.com/producto/pata-niveladora-de-aluminio-mlk-200-a-300-kg/</t>
  </si>
  <si>
    <t>https://inahermex.com/wp-content/uploads/2022/08/mLK-3-1-1030x1030.png</t>
  </si>
  <si>
    <t>MLK-4</t>
  </si>
  <si>
    <t>1000 Kg</t>
  </si>
  <si>
    <t>https://inahermex.com/producto/pata-niveladora-industrial-de-aluminio-linea-mlk-4-para-800-kg/</t>
  </si>
  <si>
    <t>https://inahermex.com/wp-content/uploads/2023/04/MLK-4-1030x1030.png</t>
  </si>
  <si>
    <t>HV-3 FIJO</t>
  </si>
  <si>
    <t>• Mesas de trabajo industriales y estaciones de ensamble instaladas sobre pisos nivelados.
• Gabinetes eléctricos, racks de control y equipos de automatización que requieren soporte firme sin anclaje.
• Transportadores ligeros o estructuras auxiliares en líneas de producción con necesidad de estabilidad.
• Maquinaria ligera en áreas comerciales o industriales.</t>
  </si>
  <si>
    <t>Diseño fijo con pad antiderrapante integrado que mejora la estabilidad del equipo sin necesidad de anclaje permanente, reduciendo desplazamientos durante operación.</t>
  </si>
  <si>
    <t>https://inahermex.com/producto/pie-de-nivelacion-antiderrapante-linea-hv-3-fijo-para-300-kg/</t>
  </si>
  <si>
    <t>https://inahermex.com/wp-content/uploads/2026/02/2-VISTAS-3.png</t>
  </si>
  <si>
    <t>M-250</t>
  </si>
  <si>
    <t>2.50"</t>
  </si>
  <si>
    <t>• Gabinetes industriales, racks eléctricos y estaciones de control que requieren estabilidad sin vibración.
• Mesas de trabajo industriales y equipos auxiliares en áreas de ensamble o inspección.
• Equipos de laboratorio o medición donde se busca reducir microvibraciones y mejorar precisión.</t>
  </si>
  <si>
    <t>Ideal para instalaciones que requieren estabilidad sin anclaje permanente, reduciendo la transmisión de energía estructural al piso y mejorando la precisión operativa.</t>
  </si>
  <si>
    <t>https://inahermex.com/producto/pie-de-nivelacion-antivibracion-m-250-para-200-kg/</t>
  </si>
  <si>
    <t>https://inahermex.com/wp-content/uploads/2026/02/M-250-2026.png</t>
  </si>
  <si>
    <t>R-3 FIJO</t>
  </si>
  <si>
    <t>• Equipos industriales que requieren instalación fija, como estaciones de ensamble o mesas estructurales ancladas.
• Transportadores industriales y estructuras metálicas que deben permanecer inmóviles durante operación.
• Gabinetes eléctricos industriales y sistemas de control instalados de forma permanente en planta.
• Maquinaria auxiliar estática en líneas de producción que requiere nivelación y fijación al piso.</t>
  </si>
  <si>
    <t>Diseño con anclaje al piso para instalación fija y máxima estabilidad.</t>
  </si>
  <si>
    <t>https://inahermex.com/producto/pie-de-nivelacion-con-anclaje-al-piso-linea-r-3-fijo-para-300-kg/</t>
  </si>
  <si>
    <t>MTL-2</t>
  </si>
  <si>
    <t>Uso industrial y fabricado en tu totalidad de acero.</t>
  </si>
  <si>
    <t>https://inahermex.com/producto/nivelador-articulado-linea-mtl-2-para-200-kg/</t>
  </si>
  <si>
    <t>https://inahermex.com/wp-content/uploads/2022/12/MTL-2-1030x1030.png</t>
  </si>
  <si>
    <t>ANG-1</t>
  </si>
  <si>
    <t>Mobiliario / Rótula</t>
  </si>
  <si>
    <t>.729"</t>
  </si>
  <si>
    <t>• Mobiliario de oficina.
• Estanterías comerciales y de almacén ligero.
• Muebles de hospitalidad y restaurantes.
• Exhibidores y vitrinas.</t>
  </si>
  <si>
    <t>nivelador económico utilizado especialmente en mobiliario</t>
  </si>
  <si>
    <t>https://inahermex.com/producto/nivelador-para-mobiliario-con-rotula-ang-1-90-kg/</t>
  </si>
  <si>
    <t>https://inahermex.com/wp-content/uploads/2022/08/ANG-1-2.png</t>
  </si>
  <si>
    <t>FNY-1</t>
  </si>
  <si>
    <t>120 Kg</t>
  </si>
  <si>
    <t>Mobiliario</t>
  </si>
  <si>
    <t>.560"</t>
  </si>
  <si>
    <t>• Mobiliario de oficina.
• Estanterías comerciales y de almacén ligero.
• Muebles de hospitalidad y restaurantes.
• Exhibidores y vitrinas.
• Gabinetes y módulos de cocina.</t>
  </si>
  <si>
    <t>https://inahermex.com/producto/nivelador-para-mobiliario-fny-1-100-kg/</t>
  </si>
  <si>
    <t>https://inahermex.com/wp-content/uploads/2022/08/FNY-3.png</t>
  </si>
  <si>
    <t>ETH-1</t>
  </si>
  <si>
    <t>• Nivelación de mobiliario en oficinas, hogares y comercios.
• Ajuste de mesas, escritorios, archiveros y estaciones de trabajo.
• Instalación en muebles modulares y de cocina.
• Nivelación de estanterías ligeras y racks de almacenamiento.
• Instalación en muebles de laboratorio y clínicas.
• Mobiliario de hotelería y restaurantes.</t>
  </si>
  <si>
    <t>https://inahermex.com/producto/nivelador-para-mobiliario-linea-eth-1-para-80-kg/</t>
  </si>
  <si>
    <t>https://inahermex.com/wp-content/uploads/2026/02/ETH-1.png</t>
  </si>
  <si>
    <t>ETH-2</t>
  </si>
  <si>
    <t>100 Kg</t>
  </si>
  <si>
    <t>5/16"-18</t>
  </si>
  <si>
    <t>1 1/4"</t>
  </si>
  <si>
    <t>https://inahermex.com/producto/nivelador-para-mobiliario-linea-eth-2-para-100-kg/</t>
  </si>
  <si>
    <t>https://inahermex.com/wp-content/uploads/2026/02/ETH-2.png</t>
  </si>
  <si>
    <t>ETH-3</t>
  </si>
  <si>
    <t>5/8"</t>
  </si>
  <si>
    <t>https://inahermex.com/producto/nivelador-para-mobiliario-80-eth-3-100-kg/</t>
  </si>
  <si>
    <t>https://inahermex.com/wp-content/uploads/2022/08/ETH3.png</t>
  </si>
  <si>
    <t>ETH-4</t>
  </si>
  <si>
    <t>• Nivelación de mobiliario en oficinas, hogares y comercios.
• Ajuste de mesas, escritorios, archiveros y estaciones de trabajo.
• Instalación en muebles modulares y de cocina.
• Nivelación de estanterías ligeras y racks de almacenamiento.
• Instalación en muebles de laboratorio y clínicas.</t>
  </si>
  <si>
    <t>Nivelador de acero solido para grandes cargas. ... Equipos de corte industrial por láser, plasma o chorro de agua de gran formato. Estructuras fijas que requieren máxima estabilidad sobre superficies desniveladas. Soporte para transportadores de banda o rodillos en manejo de materiales pesados. Estaciones automatizadas de carga y descarga con alta exigencia estructural. Líneas de ensamble estructural que demandan una base sólida, precisa y confiable pa",</t>
  </si>
  <si>
    <t>https://inahermex.com/producto/nivelador-para-mobiliario-eth-4-100-kg/</t>
  </si>
  <si>
    <t>https://inahermex.com/wp-content/uploads/2022/08/ETH-4-4.png</t>
  </si>
  <si>
    <t>ETH-5</t>
  </si>
  <si>
    <t>140 Kg</t>
  </si>
  <si>
    <t>• Nivelación de mobiliario en oficinas, hogares y comercios.
• Ajuste de mesas, escritorios, archiveros y estaciones de trabajo.
• Instalación en muebles modulares y de cocina.
• Nivelación de estanterías ligeras y racks de almacenamiento.
• Instalación en muebles de laboratorio y clínicas.
• Mobiliario de hotelería y restaurantes.
• Instalación en muebles modulares y de cocina.</t>
  </si>
  <si>
    <t>https://inahermex.com/producto/nivelador-para-mobiliario-eth-5-120-kg/</t>
  </si>
  <si>
    <t>https://inahermex.com/wp-content/uploads/2022/11/ETH-1.png</t>
  </si>
  <si>
    <t>ETH-6</t>
  </si>
  <si>
    <t>https://inahermex.com/producto/nivelador-para-mobiliario-eth-6-120-kg/</t>
  </si>
  <si>
    <t>https://inahermex.com/wp-content/uploads/2022/11/ETH6.png</t>
  </si>
  <si>
    <t>ETH-8</t>
  </si>
  <si>
    <t>1" (5/16"), 1 1/2" (3/8")</t>
  </si>
  <si>
    <t>https://inahermex.com/producto/nivelador-para-mobiliario-linea-eth-8-para-150-kg/</t>
  </si>
  <si>
    <t>https://inahermex.com/wp-content/uploads/2026/02/ETH8-495x400.png</t>
  </si>
  <si>
    <t>MRN-3</t>
  </si>
  <si>
    <t>.871"</t>
  </si>
  <si>
    <t>• Nivelación de mobiliario de oficina y hogar, proporcionando estabilidad en superficies irregulares.
• Uso en estanterías comerciales y racks de almacenamiento ligero.
• Instalación en mesas de trabajo y estaciones industriales.
• Soporte en mostradores y exhibidores comerciales, mejorando la seguridad estructural.
• Nivelación de equipos y mobiliario en laboratorios y clínicas.
• Aplicación en muebles de hotelería y restaurantes.</t>
  </si>
  <si>
    <t>https://inahermex.com/producto/nivelador-para-mobiliario-linea-mrn-3-130-para-kg/</t>
  </si>
  <si>
    <t>https://inahermex.com/wp-content/uploads/2022/11/MRN.png</t>
  </si>
  <si>
    <t>MRNB-3</t>
  </si>
  <si>
    <t>130 Kg</t>
  </si>
  <si>
    <t>Polipropileno (plástico)</t>
  </si>
  <si>
    <t>https://inahermex.com/producto/nivelador-para-mobiliario-linea-mrnb-3-para-130-kg/</t>
  </si>
  <si>
    <t>https://inahermex.com/wp-content/uploads/2022/11/MRNB.png</t>
  </si>
  <si>
    <t>HALLAZGOS DE LA CAPTURA WEB (29 julio 2026, 85 modelos + 3 accesorios)</t>
  </si>
  <si>
    <t>1. DATOS ENCONTRADOS (en verde): MT-2 = 250 kg y MS-3 = 600 kg según el título web. Confirma y desaparecen los PENDIENTES.</t>
  </si>
  <si>
    <t>2. CONFLICTOS DE CAPACIDAD contra tu tabla v1.1 (en rojo): MKD-2 (250 web vs 200 tabla), MKD-3 (400 vs 300), M-400 (500 vs 200), NS-2 (150 vs 100), MT-2 CON PAD (250 vs 200), KT-3 (1500-2000 vs 2000). Dictamina cuál es la carga real comprobada: lo que quede aquí es lo que publicará el selector Y lo que ya dice tu sitio.</t>
  </si>
  <si>
    <t>3. Muchos títulos difieren de su URL vieja (columna Conflicto): parecen capacidades actualizadas al alza sin actualizar el slug. No urge para el selector, pero conviene revisar como pendiente del sitio.</t>
  </si>
  <si>
    <t>4. TIPOS: usé las categorías de los filtros de tu propia web: Alta resistencia (21), Antiderrapante (31), Anclaje al piso (15), Rótula (17), Antivibratorio (12), Uso rudo (12), Mobiliario. Propuesta: que la lista oficial del selector sea esta — resuelve la duda de Grandes cargas: en tu web se llama ALTA RESISTENCIA.</t>
  </si>
  <si>
    <t>5. EL HUECO 300-2000 kg SE LLENÓ: la web tiene MD-880 (500), M-400 (500), MBR/MLC/MS (600), YS-2/NR-2/MLK-3 (800), MLK-4 (1000), HZ/NRT/NR-3/YS-3/TPE-1/3P-50 (1200), LE-2 (1500)... El selector ya es viable de verdad en todo el rango.</t>
  </si>
  <si>
    <t>6. RÓTULA ya no es chip vacío: 17 modelos. Anclaje al piso: 15. Todos los chips tienen población.</t>
  </si>
  <si>
    <t>7. FALTAN (en amarillo): roscas y acabados de los ~74 modelos nuevos — el listado web no los publica. Puedo extraerlos de las fichas individuales por oleadas, o los llenan ustedes.</t>
  </si>
  <si>
    <t>8. FNY-2 está en tu tabla v1.1 pero NO aparece en la página de mobiliario (solo FNY-1). Revisar si falta publicarlo o si es variante de FNY-1.</t>
  </si>
  <si>
    <t>9. Aplicaciones: conservé las de tu tabla v1.1 para los 12 originales (no las repetí aquí por espacio); los nuevos no traen aplicaciones en el listado.</t>
  </si>
  <si>
    <t>10. VERIFICACIÓN vs WEB (03 agosto 2026): 84/84 modelos coinciden en ambas direcciones (73 en /patas-niveladoras/ + 11 en /niveladores-para-mobiliario/), 84/84 capacidades de título coinciden y las URLs de ficha son correctas. Los accesorios CBT, TPC y TPR siguen fuera de la tabla a propósito (son 84 modelos + 3 accesorios, no 85).</t>
  </si>
  <si>
    <t>11. CAMBIOS v4 (03 agosto 2026): se eliminó la columna de precios (no aplica para el selector). Todas las roscas quedaron con número de hilos o paso y formato unificado: métricas "M12 × 1.75" (paso a 2 decimales), estándar "3/8"-16", orden ascendente por diámetro, "—" cuando no hay versión en esa rosca. En 9 modelos que solo traían diámetro (MTL-2, FNY-1, ETH-2, ETH-3, ETH-4, ETH-5, ETH-6, MRN-3, MRNB-3) los hilos se completaron con la serie UNC estándar (1/4"-20, 5/16"-18, 3/8"-16) porque la ficha web solo publica diámetro × largo — celdas en amarillo, confirmar en planta.</t>
  </si>
  <si>
    <t>12. CAMBIOS v5-v6 (03 agosto 2026): se completaron las tallas intermedias faltantes según la serie de línea confirmada por Marcos — métricas M6, M8, M10, M12, M14, M16, M18, M20, M24 (sin M22) y estándar 1/4", 5/16", 3/8", 7/16", 1/2", 5/8", 3/4", 7/8", 1". REGLA: solo se agregan tallas ENTRE la mínima y la máxima que ya tenía cada modelo; nunca se extiende el rango hacia abajo ni hacia arriba. Celdas modificadas en azul; el detalle de lo agregado está en "Conflicto / revisar". La 7/8"-9 quedó confirmada como parte de la serie y se agregó en los 16 modelos que van de 3/4" a 1": M-400, MR-338, MR-400, HZ-3, KT-3, KX-3, ZK-3, CFD-4, DMH-124, INX-3, KTL-3, MLR-3, TPE-3, TPE-4, MLK-3, MLK-4.</t>
  </si>
  <si>
    <t>13. NUEVA COLUMNA "Diámetro de base (ficha web)" (03 agosto 2026): dato tomado textual de la ficha de cada producto, en las unidades que publica la ficha (pulgadas o mm). OLEADA 1 = 20 modelos en verde: los 11 de mobiliario completos (ANG-1, FNY-1, ETH-1 a ETH-8, MRN-3, MRNB-3) + NS-1, NS-2, NS-5, NS-9, MKD-2, MT-1 CON PAD, KX-3, MT-3 ANTIDERRAPANTE y CFD-4. OLEADA 2 (03 agosto): +18 modelos — A3NB40, MT-2 CON PAD, MTL-2 CON PAD, NS-3, NS-6, NS-7, NS-10, NS-11, NS-12, NS-13, SPORT, MF-338, M-338, M-400, MKDR-3, MTR-2 CON PAD, MTR-2 y LTC-2. OLEADA 3 (03 agosto): +18 modelos — MTA-120, HV-3, MR-338, MR-400, R-3, R-4, A3N30, A3N50, A3NB80, YS-2, HZ-3, NRT-3, NR-2, NR-3, YS-3, KT-3, ZK-3 y DMH-124. Total capturado: 56 de 84; faltan 28 (celdas en amarillo). REGLA (dictada por Marcos, 03-ago): cuando la ficha publica más de un diámetro, se registra el INFERIOR, que es el mayor — por eso NS-10 quedó en 1.65" (la ficha también publica superior de 1") y MF-338 en 4.125" (diámetro total con orejas de anclaje; la base sola mide 3.38"). MTA-120 tiene base rectangular: se capturó 120 × 70 mm tal cual la ficha. OLEADA 4 (03 agosto): +14 modelos — 3P-50, INX-3, KTL-3, LE-2, MLR-3, TPE-1, TPE-3, TPE-4, IMH, MT-1, MT-2, MKD-3, DB-04 y MBR-450. Total capturado: 70 de 84; faltan 14 para la oleada final. AJUSTE DE REGLA (Marcos, 04-ago): cuando el diámetro de base varía por medida de tornillo (caso IMH), se registran TODAS las especificaciones, no solo la mayor — IMH quedó: 0.98" (1/4"), 1.200" (5/16"), 1.315" (3/8"). Las bases rectangulares se capturan en formato Largo × ancho: MBR-450 = Largo 4.5" × 2.3", MTA-120 = Largo 120 × 70 mm, MS-3 = Largo 4" × 3". OLEADA 5 FINAL (04 agosto): +14 modelos — MLC-3, MS-3, MT-3, R-4 FIJO, DB-04 FIJO, A3N50 FIJO, MD-880, MV-700, MLK-3, MLK-4, HV-3 FIJO, M-250, R-3 FIJO y MTL-2. COLUMNA COMPLETA: 84 de 84 modelos con diámetro de base capturado de su ficha web. Hallazgo colateral RESUELTO: Marcos confirmó (03-ago) que FNY-1 sí lleva 1/4" — se agregó 1/4"-20 a la tabla (celda en verde: roscas completas confirmadas contra ficha). Sobre unidades del diámetro de base: se capturan tal cual publica la ficha; Marcos confirmó que hay modelos milimétricos y otros en estándar, según el modelo.</t>
  </si>
  <si>
    <t>14. COLUMNA "ALTURA DE TORNILLO (FICHA WEB)" (04 agosto): capturada para los 84 modelos reutilizando las fichas ya leídas en la sesión, sin volver a consultar la web. La mayoría publica un rango (2" a 10", 3" a 10", etc.); los modelos de mobiliario y varios NS publican altura única. ETH-8 varía por medida de tornillo (1" con 5/16", 1 1/2" con 3/8") — se registraron ambas conforme a la regla del 04-ago. IMH publica altura única de 2" en su tabla. Varias fichas agregan "diámetros y largos especiales sobre pedido"; ese texto general no se copió a las celdas. CORRECCIONES DE MARCOS (04-ago, en naranja): FNY-1 quedó en 1 1/2" (la ficha publica 1", 1 1/2" y 2") y NS-9 en 10 mm (la ficha publica "2 a 10″", posible error de captura). PENDIENTE WEB: corregir esas dos fichas en inahermex.com. ETH-8 fue confirmado por Marcos tal como lo publica su ficha.</t>
  </si>
  <si>
    <t>15. COLUMNAS "APLICACIONES" Y "CARACTERÍSTICAS ESPECIALES" (04 agosto): capturadas textualmente de la ficha web de los 84 modelos, reutilizando las fichas ya leídas (solo se re-consultaron 4 para verificación: HZ-3, NRT-3, NR-2 y DB-04). Las aplicaciones se listan con viñetas dentro de la celda, una por renglón, tal como las publica cada ficha (de 1 a 7 según el modelo; HZ-3 y NRT-3 solo publican 1). 7 fichas no publican el campo "Características especiales" y quedaron con "—": R-4, NR-2, DB-04 FIJO, ETH-5, ETH-6, MRN-3 y MRNB-3 — oportunidad de completarlas en el sitio si se quiere usar ese texto en el selector.</t>
  </si>
  <si>
    <t>16. COLUMNA "ALTURA DE BASE (FICHA WEB)" (04 agosto): capturada para los 84 modelos — 78 de fichas ya leídas y 6 verificadas directo en el sitio (MR-338, IMH, NS-2, ETH-2, ETH-4, MRN-3). IMH publica la altura de base en tabla por medida: se registraron las 3 especificaciones (.040", .050", .080") conforme a la regla del 04-ago. Corrección sobre lo extraído: MKD-2 = .870" según su ficha. REGLA (Marcos, 04-ago): cada modelo se registra tal cual publica SU propia ficha técnica, sin homologar ni corregir entre modelos — todos los productos son diferentes. Por eso NS-2 queda con "600″" (textual de su ficha) y MR-400 con .800" (su ficha propia), aunque la tabla dentro de la ficha MR-338 publique otro valor para MRT-400.</t>
  </si>
  <si>
    <t>17. COLUMNAS "MATERIAL DE TORNILLO" Y "MATERIAL DE BASE" (04 agosto, indicación de Marcos: el material se estructura en tornillo y base): capturadas para los 84 modelos — la mayoría de fichas ya leídas y 19 verificadas directo en el sitio. Cuando la ficha publica un campo "Material" único, se registró en ambas columnas; cuando no publica material de base (NS-3, NS-5, NS-6, NS-11) o ningún material (ETH-4, MRN-3), quedó "—". El "Material de contacto" (neopreno/polipropileno) NO se capturó como columna; sigue disponible en cada ficha. CORRECCIÓN IMPORTANTE: MLK-3 y MLK-4 tienen base de ALUMINIO según sus fichas (una extracción previa traía nylon por dato cruzado). HV-3 y R-3 publican campo único "Nylon de alta resistencia" sin desglosar tornillo/base (con acabado de tornillo galvanizado/inoxidable) — posible desglose pendiente en esas fichas web. DE PASO: las fichas renovadas 2026 de HV-3, R-3, NS-3, NS-5, NS-6 y NS-11 traen aplicaciones (y características en HV-3/R-3) actualizadas — ya se reflejaron en el catálogo.</t>
  </si>
  <si>
    <t>18. NORMALIZACIÓN DE "MATERIAL DE TORNILLO" (04 agosto, indicación de Marcos): los materiales de tornillo del catálogo son DOS — Acero galvanizado y Acero inoxidable T-304. La columna quedó con valores limpios: "Acero galvanizado" (solo galvanizado) o "Acero galvanizado ó acero inoxidable T-304" (ambos disponibles); se eliminaron las variantes "(sobre pedido)" del texto de las celdas. REGLA COMERCIAL GLOBAL: el acero inoxidable T-304 SIEMPRE se fabrica sobre pedido y requiere una cantidad mínima de piezas — el selector/cotizador debe mostrar este aviso cuando el usuario elija inoxidable, en cualquier modelo. HV-3 y R-3: material de tornillo corregido por Marcos a galvanizado/inox T-304 (en naranja); su ficha web publica campo único "Nylon de alta resistencia" — pendiente desglosar en el sitio. Casos aparte sin cambio: NS-9 (solo inoxidable T-304, línea sanitaria), ETH-3 y MRNB-3 (polipropileno), ETH-4 y MRN-3 (ficha sin campo de material, "—"). Esta corrección aplica SOLO a material de tornillo; material de base quedó intacto.</t>
  </si>
  <si>
    <t>19. COLUMNAS "IMAGEN PRINCIPAL (URL)" Y "VISTA PREVIA" (04 agosto): URL de la imagen principal de la ficha web de los 84 modelos, con hipervínculo y fórmula =IMAGE() para verlas dentro de la celda (requiere Excel 365 o Google Sheets con conexión a internet; en Excel antiguo la fórmula muestra error, pero la URL siempre funciona). HALLAZGO: R-3 FIJO y HV-3 FIJO usan la MISMA imagen principal en el sitio (2-VISTAS-3.png) — revisar si a R-3 FIJO le corresponde otra foto. DE PASO: la ficha 2026 de ETH-3 ya publica Material: acero galvanizado ó inoxidable T-304 (el polipropileno negro es el material de contacto), altura de base 5/8" y aplicaciones nuevas — corregido en el catálogo.</t>
  </si>
  <si>
    <t>20. FORMATO COMPACTO DE ROSCAS (04 agosto, indicación de Marcos): las medidas de rosca se escriben sin espacios alrededor del signo × (ej. M10×1.50 en lugar de M10 × 1.50) para que se lean más compactas. Aplicado a las columnas de roscas métricas y estándar, y también a las bases rectangulares (ej. Largo 4.5"×2.3").</t>
  </si>
  <si>
    <t>21. COLUMNA "MATERIAL DE CONTACTO (FICHA WEB)" (04 agosto): capturada textual de cada ficha para los 84 modelos. Los que llevan pad publican "Caucho neopreno con dureza de 65° shore A +/- 5°" (o "Pad de neopreno..." en MLK-3/MLK-4); ETH-2 y ETH-3 llevan polipropileno negro; los modelos de contacto directo metal-piso quedaron con "—" (la ficha no publica el campo). Para la app: los 3 materiales (tornillo, base, contacto) viven como campos separados en la base de datos; los filtros del selector se diseñan por beneficio (antiderrapante, antivibración, inoxidable disponible, etc.), no por material — ver conversación 04-ago.</t>
  </si>
  <si>
    <t>4000 Kg</t>
  </si>
  <si>
    <t>Antivibratorio / Antiderrapante</t>
  </si>
  <si>
    <t>Anclaje al piso / Antivibratorio</t>
  </si>
  <si>
    <t>Anclaje al piso / Uso rudo</t>
  </si>
  <si>
    <t xml:space="preserve">Uso rudo / Anclaje al piso </t>
  </si>
  <si>
    <t>120 largo × 70 ancho mm</t>
  </si>
  <si>
    <t>4" largo × 3" ancho</t>
  </si>
  <si>
    <t>4.5" largo × 2.3" ancho</t>
  </si>
  <si>
    <t>1 5/16"</t>
  </si>
  <si>
    <t>Polipropileno (plástico) con casquillo de acero galvanizado</t>
  </si>
  <si>
    <t>Acero galvanizado con caucho neopreno con dureza de 65° shore A +/- 5°</t>
  </si>
  <si>
    <t>Nylon reforzado y pad de neopreno antiderrapante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</si>
</sst>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name val="Century Gothic"/>
      <family val="1"/>
    </font>
    <font>
      <sz val="11"/>
      <name val="Century Gothic"/>
      <family val="1"/>
    </font>
    <font>
      <u/>
      <sz val="11"/>
      <color rgb="FF0563C1"/>
      <name val="Century Gothic"/>
      <family val="1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D9D7CF"/>
      </left>
      <right style="thin">
        <color rgb="FFD9D7CF"/>
      </right>
      <top style="thin">
        <color rgb="FFD9D7CF"/>
      </top>
      <bottom style="thin">
        <color rgb="FFD9D7C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12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ahermex.com/wp-content/uploads/2026/02/2-VISTAS-2.png" TargetMode="External"/><Relationship Id="rId21" Type="http://schemas.openxmlformats.org/officeDocument/2006/relationships/hyperlink" Target="https://inahermex.com/wp-content/uploads/2022/10/mkdr.png" TargetMode="External"/><Relationship Id="rId42" Type="http://schemas.openxmlformats.org/officeDocument/2006/relationships/hyperlink" Target="https://inahermex.com/wp-content/uploads/2023/03/ZK-3-3-1030x1030.png" TargetMode="External"/><Relationship Id="rId47" Type="http://schemas.openxmlformats.org/officeDocument/2006/relationships/hyperlink" Target="https://inahermex.com/wp-content/uploads/2023/03/KTL-3-1-1030x1030.png" TargetMode="External"/><Relationship Id="rId63" Type="http://schemas.openxmlformats.org/officeDocument/2006/relationships/hyperlink" Target="https://inahermex.com/wp-content/uploads/2022/08/DB-FIJO-1030x1030.png" TargetMode="External"/><Relationship Id="rId68" Type="http://schemas.openxmlformats.org/officeDocument/2006/relationships/hyperlink" Target="https://inahermex.com/wp-content/uploads/2022/08/mLK-3-1-1030x1030.png" TargetMode="External"/><Relationship Id="rId84" Type="http://schemas.openxmlformats.org/officeDocument/2006/relationships/hyperlink" Target="https://inahermex.com/wp-content/uploads/2022/11/MRNB.png" TargetMode="External"/><Relationship Id="rId16" Type="http://schemas.openxmlformats.org/officeDocument/2006/relationships/hyperlink" Target="https://inahermex.com/wp-content/uploads/2022/08/NS9.png" TargetMode="External"/><Relationship Id="rId11" Type="http://schemas.openxmlformats.org/officeDocument/2006/relationships/hyperlink" Target="https://inahermex.com/wp-content/uploads/2022/08/NS2.png" TargetMode="External"/><Relationship Id="rId32" Type="http://schemas.openxmlformats.org/officeDocument/2006/relationships/hyperlink" Target="https://inahermex.com/wp-content/uploads/2022/08/A3N50.1-1030x1030.png" TargetMode="External"/><Relationship Id="rId37" Type="http://schemas.openxmlformats.org/officeDocument/2006/relationships/hyperlink" Target="https://inahermex.com/wp-content/uploads/2023/03/NR2-1030x1030.png" TargetMode="External"/><Relationship Id="rId53" Type="http://schemas.openxmlformats.org/officeDocument/2006/relationships/hyperlink" Target="https://inahermex.com/wp-content/uploads/2022/09/IMH-2.png" TargetMode="External"/><Relationship Id="rId58" Type="http://schemas.openxmlformats.org/officeDocument/2006/relationships/hyperlink" Target="https://inahermex.com/wp-content/uploads/2022/08/MBR-1-1030x1030.png" TargetMode="External"/><Relationship Id="rId74" Type="http://schemas.openxmlformats.org/officeDocument/2006/relationships/hyperlink" Target="https://inahermex.com/wp-content/uploads/2022/08/ANG-1-2.png" TargetMode="External"/><Relationship Id="rId79" Type="http://schemas.openxmlformats.org/officeDocument/2006/relationships/hyperlink" Target="https://inahermex.com/wp-content/uploads/2022/08/ETH-4-4.png" TargetMode="External"/><Relationship Id="rId5" Type="http://schemas.openxmlformats.org/officeDocument/2006/relationships/hyperlink" Target="https://inahermex.com/wp-content/uploads/2022/12/MTL-2-CON-PAD-1030x1030.png" TargetMode="External"/><Relationship Id="rId61" Type="http://schemas.openxmlformats.org/officeDocument/2006/relationships/hyperlink" Target="https://inahermex.com/wp-content/uploads/2022/08/MT-3-1030x1030.png" TargetMode="External"/><Relationship Id="rId82" Type="http://schemas.openxmlformats.org/officeDocument/2006/relationships/hyperlink" Target="https://inahermex.com/wp-content/uploads/2026/02/ETH8-495x400.png" TargetMode="External"/><Relationship Id="rId19" Type="http://schemas.openxmlformats.org/officeDocument/2006/relationships/hyperlink" Target="https://inahermex.com/wp-content/uploads/2022/08/M-338.1.png" TargetMode="External"/><Relationship Id="rId14" Type="http://schemas.openxmlformats.org/officeDocument/2006/relationships/hyperlink" Target="https://inahermex.com/wp-content/uploads/2022/08/NS-6-1.png" TargetMode="External"/><Relationship Id="rId22" Type="http://schemas.openxmlformats.org/officeDocument/2006/relationships/hyperlink" Target="https://inahermex.com/wp-content/uploads/2022/12/MTR2-CON-PAD.png" TargetMode="External"/><Relationship Id="rId27" Type="http://schemas.openxmlformats.org/officeDocument/2006/relationships/hyperlink" Target="https://inahermex.com/wp-content/uploads/2026/02/1-14.png" TargetMode="External"/><Relationship Id="rId30" Type="http://schemas.openxmlformats.org/officeDocument/2006/relationships/hyperlink" Target="https://inahermex.com/wp-content/uploads/2022/08/R-4-6.png" TargetMode="External"/><Relationship Id="rId35" Type="http://schemas.openxmlformats.org/officeDocument/2006/relationships/hyperlink" Target="https://inahermex.com/wp-content/uploads/2026/05/HZ-3.png" TargetMode="External"/><Relationship Id="rId43" Type="http://schemas.openxmlformats.org/officeDocument/2006/relationships/hyperlink" Target="https://inahermex.com/wp-content/uploads/2022/09/CFD-4-1-1030x1030.png" TargetMode="External"/><Relationship Id="rId48" Type="http://schemas.openxmlformats.org/officeDocument/2006/relationships/hyperlink" Target="https://inahermex.com/wp-content/uploads/2025/03/LE-2-1-1030x1030.png" TargetMode="External"/><Relationship Id="rId56" Type="http://schemas.openxmlformats.org/officeDocument/2006/relationships/hyperlink" Target="https://inahermex.com/wp-content/uploads/2022/10/MKD-3-1030x1030.png" TargetMode="External"/><Relationship Id="rId64" Type="http://schemas.openxmlformats.org/officeDocument/2006/relationships/hyperlink" Target="https://inahermex.com/wp-content/uploads/2022/08/A3N50-FIJO-J-1030x1030.png" TargetMode="External"/><Relationship Id="rId69" Type="http://schemas.openxmlformats.org/officeDocument/2006/relationships/hyperlink" Target="https://inahermex.com/wp-content/uploads/2023/04/MLK-4-1030x1030.png" TargetMode="External"/><Relationship Id="rId77" Type="http://schemas.openxmlformats.org/officeDocument/2006/relationships/hyperlink" Target="https://inahermex.com/wp-content/uploads/2026/02/ETH-2.png" TargetMode="External"/><Relationship Id="rId8" Type="http://schemas.openxmlformats.org/officeDocument/2006/relationships/hyperlink" Target="https://inahermex.com/wp-content/uploads/2023/01/NS-11-OF.png" TargetMode="External"/><Relationship Id="rId51" Type="http://schemas.openxmlformats.org/officeDocument/2006/relationships/hyperlink" Target="https://inahermex.com/wp-content/uploads/2022/08/TPE-4-1030x1030.png" TargetMode="External"/><Relationship Id="rId72" Type="http://schemas.openxmlformats.org/officeDocument/2006/relationships/hyperlink" Target="https://inahermex.com/wp-content/uploads/2026/02/2-VISTAS-3.png" TargetMode="External"/><Relationship Id="rId80" Type="http://schemas.openxmlformats.org/officeDocument/2006/relationships/hyperlink" Target="https://inahermex.com/wp-content/uploads/2022/11/ETH-1.png" TargetMode="External"/><Relationship Id="rId3" Type="http://schemas.openxmlformats.org/officeDocument/2006/relationships/hyperlink" Target="https://inahermex.com/wp-content/uploads/2022/08/MKD-2-3.png" TargetMode="External"/><Relationship Id="rId12" Type="http://schemas.openxmlformats.org/officeDocument/2006/relationships/hyperlink" Target="https://inahermex.com/wp-content/uploads/2022/08/NS-3-5.png" TargetMode="External"/><Relationship Id="rId17" Type="http://schemas.openxmlformats.org/officeDocument/2006/relationships/hyperlink" Target="https://inahermex.com/wp-content/uploads/2022/08/sport-2.png" TargetMode="External"/><Relationship Id="rId25" Type="http://schemas.openxmlformats.org/officeDocument/2006/relationships/hyperlink" Target="https://inahermex.com/wp-content/uploads/2022/08/MTA.png" TargetMode="External"/><Relationship Id="rId33" Type="http://schemas.openxmlformats.org/officeDocument/2006/relationships/hyperlink" Target="https://inahermex.com/wp-content/uploads/2022/08/LINEA-A3NB80-2-1030x1030.png" TargetMode="External"/><Relationship Id="rId38" Type="http://schemas.openxmlformats.org/officeDocument/2006/relationships/hyperlink" Target="https://inahermex.com/wp-content/uploads/2023/05/NR3-1030x1030.png" TargetMode="External"/><Relationship Id="rId46" Type="http://schemas.openxmlformats.org/officeDocument/2006/relationships/hyperlink" Target="https://inahermex.com/wp-content/uploads/2022/08/INX-3-1-1030x1030.png" TargetMode="External"/><Relationship Id="rId59" Type="http://schemas.openxmlformats.org/officeDocument/2006/relationships/hyperlink" Target="https://inahermex.com/wp-content/uploads/2022/08/1.4-1030x1030.png" TargetMode="External"/><Relationship Id="rId67" Type="http://schemas.openxmlformats.org/officeDocument/2006/relationships/hyperlink" Target="https://inahermex.com/wp-content/uploads/2022/08/MV-700-1-1030x1030.png" TargetMode="External"/><Relationship Id="rId20" Type="http://schemas.openxmlformats.org/officeDocument/2006/relationships/hyperlink" Target="https://inahermex.com/wp-content/uploads/2022/08/M-400-3.png" TargetMode="External"/><Relationship Id="rId41" Type="http://schemas.openxmlformats.org/officeDocument/2006/relationships/hyperlink" Target="https://inahermex.com/wp-content/uploads/2023/03/KX-3-3-1030x1030.png" TargetMode="External"/><Relationship Id="rId54" Type="http://schemas.openxmlformats.org/officeDocument/2006/relationships/hyperlink" Target="https://inahermex.com/wp-content/uploads/2023/01/MT-1-1-1030x1030.png" TargetMode="External"/><Relationship Id="rId62" Type="http://schemas.openxmlformats.org/officeDocument/2006/relationships/hyperlink" Target="https://inahermex.com/wp-content/uploads/2022/08/r4-fijo.png" TargetMode="External"/><Relationship Id="rId70" Type="http://schemas.openxmlformats.org/officeDocument/2006/relationships/hyperlink" Target="https://inahermex.com/wp-content/uploads/2026/02/2-VISTAS-3.png" TargetMode="External"/><Relationship Id="rId75" Type="http://schemas.openxmlformats.org/officeDocument/2006/relationships/hyperlink" Target="https://inahermex.com/wp-content/uploads/2022/08/FNY-3.png" TargetMode="External"/><Relationship Id="rId83" Type="http://schemas.openxmlformats.org/officeDocument/2006/relationships/hyperlink" Target="https://inahermex.com/wp-content/uploads/2022/11/MRN.png" TargetMode="External"/><Relationship Id="rId1" Type="http://schemas.openxmlformats.org/officeDocument/2006/relationships/hyperlink" Target="https://inahermex.com/wp-content/uploads/2022/08/A3NB40.1-1.png" TargetMode="External"/><Relationship Id="rId6" Type="http://schemas.openxmlformats.org/officeDocument/2006/relationships/hyperlink" Target="https://inahermex.com/wp-content/uploads/2022/08/NS1.png" TargetMode="External"/><Relationship Id="rId15" Type="http://schemas.openxmlformats.org/officeDocument/2006/relationships/hyperlink" Target="https://inahermex.com/wp-content/uploads/2022/08/1-17-1030x1030.png" TargetMode="External"/><Relationship Id="rId23" Type="http://schemas.openxmlformats.org/officeDocument/2006/relationships/hyperlink" Target="https://inahermex.com/wp-content/uploads/2022/08/MTR2-1.png" TargetMode="External"/><Relationship Id="rId28" Type="http://schemas.openxmlformats.org/officeDocument/2006/relationships/hyperlink" Target="https://inahermex.com/wp-content/uploads/2026/02/1-14.png" TargetMode="External"/><Relationship Id="rId36" Type="http://schemas.openxmlformats.org/officeDocument/2006/relationships/hyperlink" Target="https://inahermex.com/wp-content/uploads/2023/05/nrt-1.png" TargetMode="External"/><Relationship Id="rId49" Type="http://schemas.openxmlformats.org/officeDocument/2006/relationships/hyperlink" Target="https://inahermex.com/wp-content/uploads/2022/08/1-53-1030x1030.png" TargetMode="External"/><Relationship Id="rId57" Type="http://schemas.openxmlformats.org/officeDocument/2006/relationships/hyperlink" Target="https://inahermex.com/wp-content/uploads/2022/08/DB-1030x1030.png" TargetMode="External"/><Relationship Id="rId10" Type="http://schemas.openxmlformats.org/officeDocument/2006/relationships/hyperlink" Target="https://inahermex.com/wp-content/uploads/2026/02/NS13.png" TargetMode="External"/><Relationship Id="rId31" Type="http://schemas.openxmlformats.org/officeDocument/2006/relationships/hyperlink" Target="https://inahermex.com/wp-content/uploads/2022/08/A3N30-3-1030x1030.png" TargetMode="External"/><Relationship Id="rId44" Type="http://schemas.openxmlformats.org/officeDocument/2006/relationships/hyperlink" Target="https://inahermex.com/wp-content/uploads/2022/08/DMH.png" TargetMode="External"/><Relationship Id="rId52" Type="http://schemas.openxmlformats.org/officeDocument/2006/relationships/hyperlink" Target="https://inahermex.com/wp-content/uploads/2022/09/TPE4.png" TargetMode="External"/><Relationship Id="rId60" Type="http://schemas.openxmlformats.org/officeDocument/2006/relationships/hyperlink" Target="https://inahermex.com/wp-content/uploads/2023/06/MS-3-1030x1030.png" TargetMode="External"/><Relationship Id="rId65" Type="http://schemas.openxmlformats.org/officeDocument/2006/relationships/hyperlink" Target="https://inahermex.com/wp-content/uploads/2025/02/MT-3-1030x1030.png" TargetMode="External"/><Relationship Id="rId73" Type="http://schemas.openxmlformats.org/officeDocument/2006/relationships/hyperlink" Target="https://inahermex.com/wp-content/uploads/2022/12/MTL-2-1030x1030.png" TargetMode="External"/><Relationship Id="rId78" Type="http://schemas.openxmlformats.org/officeDocument/2006/relationships/hyperlink" Target="https://inahermex.com/wp-content/uploads/2022/08/ETH3.png" TargetMode="External"/><Relationship Id="rId81" Type="http://schemas.openxmlformats.org/officeDocument/2006/relationships/hyperlink" Target="https://inahermex.com/wp-content/uploads/2022/11/ETH6.png" TargetMode="External"/><Relationship Id="rId4" Type="http://schemas.openxmlformats.org/officeDocument/2006/relationships/hyperlink" Target="https://inahermex.com/wp-content/uploads/2022/08/MT2.png" TargetMode="External"/><Relationship Id="rId9" Type="http://schemas.openxmlformats.org/officeDocument/2006/relationships/hyperlink" Target="https://inahermex.com/wp-content/uploads/2025/03/NS-12-2.png" TargetMode="External"/><Relationship Id="rId13" Type="http://schemas.openxmlformats.org/officeDocument/2006/relationships/hyperlink" Target="https://inahermex.com/wp-content/uploads/2022/08/NS5.png" TargetMode="External"/><Relationship Id="rId18" Type="http://schemas.openxmlformats.org/officeDocument/2006/relationships/hyperlink" Target="https://inahermex.com/wp-content/uploads/2025/07/MF338.png" TargetMode="External"/><Relationship Id="rId39" Type="http://schemas.openxmlformats.org/officeDocument/2006/relationships/hyperlink" Target="https://inahermex.com/wp-content/uploads/2025/07/YS-3-1-1030x1030.png" TargetMode="External"/><Relationship Id="rId34" Type="http://schemas.openxmlformats.org/officeDocument/2006/relationships/hyperlink" Target="https://inahermex.com/wp-content/uploads/2026/02/1-15.png" TargetMode="External"/><Relationship Id="rId50" Type="http://schemas.openxmlformats.org/officeDocument/2006/relationships/hyperlink" Target="https://inahermex.com/wp-content/uploads/2025/03/TPE-1-1-1030x1030.png" TargetMode="External"/><Relationship Id="rId55" Type="http://schemas.openxmlformats.org/officeDocument/2006/relationships/hyperlink" Target="https://inahermex.com/wp-content/uploads/2022/08/MT2-1.png" TargetMode="External"/><Relationship Id="rId76" Type="http://schemas.openxmlformats.org/officeDocument/2006/relationships/hyperlink" Target="https://inahermex.com/wp-content/uploads/2026/02/ETH-1.png" TargetMode="External"/><Relationship Id="rId7" Type="http://schemas.openxmlformats.org/officeDocument/2006/relationships/hyperlink" Target="https://inahermex.com/wp-content/uploads/2022/12/NS10.png" TargetMode="External"/><Relationship Id="rId71" Type="http://schemas.openxmlformats.org/officeDocument/2006/relationships/hyperlink" Target="https://inahermex.com/wp-content/uploads/2026/02/M-250-2026.png" TargetMode="External"/><Relationship Id="rId2" Type="http://schemas.openxmlformats.org/officeDocument/2006/relationships/hyperlink" Target="https://inahermex.com/wp-content/uploads/2025/04/MT-1-CON-PAD-1.png" TargetMode="External"/><Relationship Id="rId29" Type="http://schemas.openxmlformats.org/officeDocument/2006/relationships/hyperlink" Target="https://inahermex.com/wp-content/uploads/2026/02/R3-DOS-VISTAS.png" TargetMode="External"/><Relationship Id="rId24" Type="http://schemas.openxmlformats.org/officeDocument/2006/relationships/hyperlink" Target="https://inahermex.com/wp-content/uploads/2022/08/LTC-2-2-1030x1030.png" TargetMode="External"/><Relationship Id="rId40" Type="http://schemas.openxmlformats.org/officeDocument/2006/relationships/hyperlink" Target="https://inahermex.com/wp-content/uploads/2023/03/KT-3-1030x1030.png" TargetMode="External"/><Relationship Id="rId45" Type="http://schemas.openxmlformats.org/officeDocument/2006/relationships/hyperlink" Target="https://inahermex.com/wp-content/uploads/2023/04/3P-50-1030x1030.png" TargetMode="External"/><Relationship Id="rId66" Type="http://schemas.openxmlformats.org/officeDocument/2006/relationships/hyperlink" Target="https://inahermex.com/wp-content/uploads/2022/08/MD880-1030x10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zoomScale="110" zoomScaleNormal="110" workbookViewId="0">
      <pane ySplit="1" topLeftCell="A2" activePane="bottomLeft" state="frozen"/>
      <selection pane="bottomLeft" activeCell="F1" sqref="F1"/>
    </sheetView>
  </sheetViews>
  <sheetFormatPr baseColWidth="10" defaultColWidth="8.83203125" defaultRowHeight="15" x14ac:dyDescent="0.2"/>
  <cols>
    <col min="1" max="1" width="18" style="6" customWidth="1"/>
    <col min="2" max="2" width="21.5" style="6" bestFit="1" customWidth="1"/>
    <col min="3" max="3" width="30" style="6" customWidth="1"/>
    <col min="4" max="5" width="26" style="6" customWidth="1"/>
    <col min="6" max="7" width="18" style="6" customWidth="1"/>
    <col min="8" max="8" width="20" style="6" customWidth="1"/>
    <col min="9" max="9" width="75" style="6" customWidth="1"/>
    <col min="10" max="10" width="45" style="6" customWidth="1"/>
    <col min="11" max="12" width="34" style="6" customWidth="1"/>
    <col min="13" max="13" width="50" style="6" customWidth="1"/>
    <col min="14" max="14" width="65" style="6" customWidth="1"/>
    <col min="15" max="15" width="24" style="6" customWidth="1"/>
    <col min="16" max="16384" width="8.83203125" style="6"/>
  </cols>
  <sheetData>
    <row r="1" spans="1:15" s="7" customFormat="1" ht="49" customHeight="1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5" t="s">
        <v>6</v>
      </c>
      <c r="H1" s="17" t="s">
        <v>7</v>
      </c>
      <c r="I1" s="5" t="s">
        <v>8</v>
      </c>
      <c r="J1" s="5" t="s">
        <v>9</v>
      </c>
      <c r="K1" s="17" t="s">
        <v>10</v>
      </c>
      <c r="L1" s="17" t="s">
        <v>11</v>
      </c>
      <c r="M1" s="5" t="s">
        <v>12</v>
      </c>
      <c r="N1" s="5" t="s">
        <v>13</v>
      </c>
      <c r="O1" s="5" t="s">
        <v>14</v>
      </c>
    </row>
    <row r="2" spans="1:15" ht="90" x14ac:dyDescent="0.2">
      <c r="A2" s="8" t="s">
        <v>305</v>
      </c>
      <c r="B2" s="9" t="s">
        <v>254</v>
      </c>
      <c r="C2" s="8" t="s">
        <v>306</v>
      </c>
      <c r="D2" s="8" t="s">
        <v>18</v>
      </c>
      <c r="E2" s="8" t="s">
        <v>19</v>
      </c>
      <c r="F2" s="10" t="s">
        <v>45</v>
      </c>
      <c r="G2" s="10" t="s">
        <v>158</v>
      </c>
      <c r="H2" s="10" t="s">
        <v>22</v>
      </c>
      <c r="I2" s="11" t="s">
        <v>307</v>
      </c>
      <c r="J2" s="11" t="s">
        <v>284</v>
      </c>
      <c r="K2" s="11" t="s">
        <v>25</v>
      </c>
      <c r="L2" s="11" t="s">
        <v>25</v>
      </c>
      <c r="M2" s="8" t="s">
        <v>308</v>
      </c>
      <c r="N2" s="12" t="s">
        <v>309</v>
      </c>
      <c r="O2" s="10" t="e" vm="1">
        <f ca="1">_xlfn.IMAGE("https://inahermex.com/wp-content/uploads/2023/04/3P-50-1030x1030.png")</f>
        <v>#VALUE!</v>
      </c>
    </row>
    <row r="3" spans="1:15" ht="120" x14ac:dyDescent="0.2">
      <c r="A3" s="8" t="s">
        <v>226</v>
      </c>
      <c r="B3" s="9" t="s">
        <v>29</v>
      </c>
      <c r="C3" s="8" t="s">
        <v>199</v>
      </c>
      <c r="D3" s="8" t="s">
        <v>227</v>
      </c>
      <c r="E3" s="8" t="s">
        <v>228</v>
      </c>
      <c r="F3" s="10" t="s">
        <v>229</v>
      </c>
      <c r="G3" s="10" t="s">
        <v>230</v>
      </c>
      <c r="H3" s="10" t="s">
        <v>22</v>
      </c>
      <c r="I3" s="11" t="s">
        <v>23</v>
      </c>
      <c r="J3" s="11" t="s">
        <v>24</v>
      </c>
      <c r="K3" s="11" t="s">
        <v>25</v>
      </c>
      <c r="L3" s="13" t="s">
        <v>534</v>
      </c>
      <c r="M3" s="8" t="s">
        <v>231</v>
      </c>
      <c r="N3" s="12" t="s">
        <v>232</v>
      </c>
      <c r="O3" s="10" t="e" vm="1">
        <f ca="1">_xlfn.IMAGE("https://inahermex.com/wp-content/uploads/2022/08/A3N30-3-1030x1030.png")</f>
        <v>#VALUE!</v>
      </c>
    </row>
    <row r="4" spans="1:15" ht="75" x14ac:dyDescent="0.2">
      <c r="A4" s="8" t="s">
        <v>233</v>
      </c>
      <c r="B4" s="9" t="s">
        <v>16</v>
      </c>
      <c r="C4" s="8" t="s">
        <v>199</v>
      </c>
      <c r="D4" s="8" t="s">
        <v>18</v>
      </c>
      <c r="E4" s="8" t="s">
        <v>19</v>
      </c>
      <c r="F4" s="10" t="s">
        <v>234</v>
      </c>
      <c r="G4" s="10" t="s">
        <v>235</v>
      </c>
      <c r="H4" s="10" t="s">
        <v>22</v>
      </c>
      <c r="I4" s="11" t="s">
        <v>236</v>
      </c>
      <c r="J4" s="11" t="s">
        <v>24</v>
      </c>
      <c r="K4" s="11" t="s">
        <v>25</v>
      </c>
      <c r="L4" s="13" t="s">
        <v>534</v>
      </c>
      <c r="M4" s="8" t="s">
        <v>237</v>
      </c>
      <c r="N4" s="12" t="s">
        <v>238</v>
      </c>
      <c r="O4" s="10" t="e" vm="1">
        <f ca="1">_xlfn.IMAGE("https://inahermex.com/wp-content/uploads/2022/08/A3N50.1-1030x1030.png")</f>
        <v>#VALUE!</v>
      </c>
    </row>
    <row r="5" spans="1:15" ht="90" x14ac:dyDescent="0.2">
      <c r="A5" s="8" t="s">
        <v>398</v>
      </c>
      <c r="B5" s="9" t="s">
        <v>16</v>
      </c>
      <c r="C5" s="8" t="s">
        <v>44</v>
      </c>
      <c r="D5" s="8" t="s">
        <v>18</v>
      </c>
      <c r="E5" s="8" t="s">
        <v>19</v>
      </c>
      <c r="F5" s="10" t="s">
        <v>234</v>
      </c>
      <c r="G5" s="10" t="s">
        <v>235</v>
      </c>
      <c r="H5" s="10" t="s">
        <v>22</v>
      </c>
      <c r="I5" s="11" t="s">
        <v>372</v>
      </c>
      <c r="J5" s="11" t="s">
        <v>399</v>
      </c>
      <c r="K5" s="11" t="s">
        <v>25</v>
      </c>
      <c r="L5" s="13" t="s">
        <v>534</v>
      </c>
      <c r="M5" s="8" t="s">
        <v>400</v>
      </c>
      <c r="N5" s="12" t="s">
        <v>401</v>
      </c>
      <c r="O5" s="10" t="e" vm="1">
        <f ca="1">_xlfn.IMAGE("https://inahermex.com/wp-content/uploads/2022/08/A3N50-FIJO-J-1030x1030.png")</f>
        <v>#VALUE!</v>
      </c>
    </row>
    <row r="6" spans="1:15" ht="120" x14ac:dyDescent="0.2">
      <c r="A6" s="8" t="s">
        <v>15</v>
      </c>
      <c r="B6" s="9" t="s">
        <v>16</v>
      </c>
      <c r="C6" s="8" t="s">
        <v>199</v>
      </c>
      <c r="D6" s="8" t="s">
        <v>18</v>
      </c>
      <c r="E6" s="8" t="s">
        <v>19</v>
      </c>
      <c r="F6" s="10" t="s">
        <v>20</v>
      </c>
      <c r="G6" s="10" t="s">
        <v>21</v>
      </c>
      <c r="H6" s="10" t="s">
        <v>22</v>
      </c>
      <c r="I6" s="11" t="s">
        <v>23</v>
      </c>
      <c r="J6" s="11" t="s">
        <v>24</v>
      </c>
      <c r="K6" s="11" t="s">
        <v>25</v>
      </c>
      <c r="L6" s="13" t="s">
        <v>534</v>
      </c>
      <c r="M6" s="8" t="s">
        <v>26</v>
      </c>
      <c r="N6" s="12" t="s">
        <v>27</v>
      </c>
      <c r="O6" s="10" t="e" vm="1">
        <f ca="1">_xlfn.IMAGE("https://inahermex.com/wp-content/uploads/2022/08/A3NB40.1-1.png")</f>
        <v>#VALUE!</v>
      </c>
    </row>
    <row r="7" spans="1:15" ht="105" x14ac:dyDescent="0.2">
      <c r="A7" s="8" t="s">
        <v>239</v>
      </c>
      <c r="B7" s="9" t="s">
        <v>43</v>
      </c>
      <c r="C7" s="8" t="s">
        <v>199</v>
      </c>
      <c r="D7" s="8" t="s">
        <v>200</v>
      </c>
      <c r="E7" s="8" t="s">
        <v>201</v>
      </c>
      <c r="F7" s="10" t="s">
        <v>240</v>
      </c>
      <c r="G7" s="10" t="s">
        <v>241</v>
      </c>
      <c r="H7" s="14" t="s">
        <v>159</v>
      </c>
      <c r="I7" s="11" t="s">
        <v>242</v>
      </c>
      <c r="J7" s="11" t="s">
        <v>24</v>
      </c>
      <c r="K7" s="11" t="s">
        <v>25</v>
      </c>
      <c r="L7" s="13" t="s">
        <v>534</v>
      </c>
      <c r="M7" s="8" t="s">
        <v>244</v>
      </c>
      <c r="N7" s="12" t="s">
        <v>245</v>
      </c>
      <c r="O7" s="10" t="e" vm="1">
        <f ca="1">_xlfn.IMAGE("https://inahermex.com/wp-content/uploads/2022/08/LINEA-A3NB80-2-1030x1030.png")</f>
        <v>#VALUE!</v>
      </c>
    </row>
    <row r="8" spans="1:15" ht="60" x14ac:dyDescent="0.2">
      <c r="A8" s="8" t="s">
        <v>446</v>
      </c>
      <c r="B8" s="9" t="s">
        <v>67</v>
      </c>
      <c r="C8" s="8" t="s">
        <v>447</v>
      </c>
      <c r="D8" s="8" t="s">
        <v>39</v>
      </c>
      <c r="E8" s="8" t="s">
        <v>68</v>
      </c>
      <c r="F8" s="10" t="s">
        <v>69</v>
      </c>
      <c r="G8" s="10" t="s">
        <v>448</v>
      </c>
      <c r="H8" s="10" t="s">
        <v>158</v>
      </c>
      <c r="I8" s="11" t="s">
        <v>449</v>
      </c>
      <c r="J8" s="11" t="s">
        <v>450</v>
      </c>
      <c r="K8" s="13" t="s">
        <v>38</v>
      </c>
      <c r="L8" s="13" t="s">
        <v>498</v>
      </c>
      <c r="M8" s="8" t="s">
        <v>451</v>
      </c>
      <c r="N8" s="12" t="s">
        <v>452</v>
      </c>
      <c r="O8" s="10" t="e" vm="1">
        <f ca="1">_xlfn.IMAGE("https://inahermex.com/wp-content/uploads/2022/08/ANG-1-2.png")</f>
        <v>#VALUE!</v>
      </c>
    </row>
    <row r="9" spans="1:15" ht="120" x14ac:dyDescent="0.2">
      <c r="A9" s="8" t="s">
        <v>290</v>
      </c>
      <c r="B9" s="9" t="s">
        <v>291</v>
      </c>
      <c r="C9" s="8" t="s">
        <v>292</v>
      </c>
      <c r="D9" s="8" t="s">
        <v>142</v>
      </c>
      <c r="E9" s="8" t="s">
        <v>156</v>
      </c>
      <c r="F9" s="10" t="s">
        <v>157</v>
      </c>
      <c r="G9" s="10" t="s">
        <v>158</v>
      </c>
      <c r="H9" s="14" t="s">
        <v>159</v>
      </c>
      <c r="I9" s="11" t="s">
        <v>283</v>
      </c>
      <c r="J9" s="11" t="s">
        <v>293</v>
      </c>
      <c r="K9" s="11" t="s">
        <v>25</v>
      </c>
      <c r="L9" s="11" t="s">
        <v>294</v>
      </c>
      <c r="M9" s="8" t="s">
        <v>295</v>
      </c>
      <c r="N9" s="12" t="s">
        <v>296</v>
      </c>
      <c r="O9" s="10" t="e" vm="1">
        <f ca="1">_xlfn.IMAGE("https://inahermex.com/wp-content/uploads/2022/09/CFD-4-1-1030x1030.png")</f>
        <v>#VALUE!</v>
      </c>
    </row>
    <row r="10" spans="1:15" ht="75" x14ac:dyDescent="0.2">
      <c r="A10" s="8" t="s">
        <v>364</v>
      </c>
      <c r="B10" s="9" t="s">
        <v>140</v>
      </c>
      <c r="C10" s="8" t="s">
        <v>199</v>
      </c>
      <c r="D10" s="8" t="s">
        <v>200</v>
      </c>
      <c r="E10" s="8" t="s">
        <v>201</v>
      </c>
      <c r="F10" s="10" t="s">
        <v>157</v>
      </c>
      <c r="G10" s="10" t="s">
        <v>98</v>
      </c>
      <c r="H10" s="10" t="s">
        <v>22</v>
      </c>
      <c r="I10" s="11" t="s">
        <v>365</v>
      </c>
      <c r="J10" s="11" t="s">
        <v>366</v>
      </c>
      <c r="K10" s="11" t="s">
        <v>25</v>
      </c>
      <c r="L10" s="13" t="s">
        <v>534</v>
      </c>
      <c r="M10" s="8" t="s">
        <v>367</v>
      </c>
      <c r="N10" s="12" t="s">
        <v>368</v>
      </c>
      <c r="O10" s="10" t="e" vm="1">
        <f ca="1">_xlfn.IMAGE("https://inahermex.com/wp-content/uploads/2022/08/DB-1030x1030.png")</f>
        <v>#VALUE!</v>
      </c>
    </row>
    <row r="11" spans="1:15" ht="90" x14ac:dyDescent="0.2">
      <c r="A11" s="8" t="s">
        <v>394</v>
      </c>
      <c r="B11" s="9" t="s">
        <v>140</v>
      </c>
      <c r="C11" s="8" t="s">
        <v>44</v>
      </c>
      <c r="D11" s="8" t="s">
        <v>155</v>
      </c>
      <c r="E11" s="8" t="s">
        <v>166</v>
      </c>
      <c r="F11" s="10" t="s">
        <v>157</v>
      </c>
      <c r="G11" s="10" t="s">
        <v>187</v>
      </c>
      <c r="H11" s="10" t="s">
        <v>159</v>
      </c>
      <c r="I11" s="11" t="s">
        <v>395</v>
      </c>
      <c r="J11" s="11" t="s">
        <v>39</v>
      </c>
      <c r="K11" s="11" t="s">
        <v>25</v>
      </c>
      <c r="L11" s="13" t="s">
        <v>534</v>
      </c>
      <c r="M11" s="8" t="s">
        <v>396</v>
      </c>
      <c r="N11" s="12" t="s">
        <v>397</v>
      </c>
      <c r="O11" s="10" t="e" vm="1">
        <f ca="1">_xlfn.IMAGE("https://inahermex.com/wp-content/uploads/2022/08/DB-FIJO-1030x1030.png")</f>
        <v>#VALUE!</v>
      </c>
    </row>
    <row r="12" spans="1:15" ht="90" x14ac:dyDescent="0.2">
      <c r="A12" s="8" t="s">
        <v>297</v>
      </c>
      <c r="B12" s="9" t="s">
        <v>298</v>
      </c>
      <c r="C12" s="8" t="s">
        <v>292</v>
      </c>
      <c r="D12" s="8" t="s">
        <v>142</v>
      </c>
      <c r="E12" s="8" t="s">
        <v>156</v>
      </c>
      <c r="F12" s="10" t="s">
        <v>299</v>
      </c>
      <c r="G12" s="10" t="s">
        <v>300</v>
      </c>
      <c r="H12" s="10" t="s">
        <v>159</v>
      </c>
      <c r="I12" s="11" t="s">
        <v>301</v>
      </c>
      <c r="J12" s="11" t="s">
        <v>302</v>
      </c>
      <c r="K12" s="11" t="s">
        <v>25</v>
      </c>
      <c r="L12" s="11" t="s">
        <v>243</v>
      </c>
      <c r="M12" s="8" t="s">
        <v>303</v>
      </c>
      <c r="N12" s="12" t="s">
        <v>304</v>
      </c>
      <c r="O12" s="10" t="e" vm="1">
        <f ca="1">_xlfn.IMAGE("https://inahermex.com/wp-content/uploads/2022/08/DMH.png")</f>
        <v>#VALUE!</v>
      </c>
    </row>
    <row r="13" spans="1:15" ht="90" x14ac:dyDescent="0.2">
      <c r="A13" s="8" t="s">
        <v>460</v>
      </c>
      <c r="B13" s="9" t="s">
        <v>67</v>
      </c>
      <c r="C13" s="8" t="s">
        <v>455</v>
      </c>
      <c r="D13" s="8" t="s">
        <v>39</v>
      </c>
      <c r="E13" s="8" t="s">
        <v>68</v>
      </c>
      <c r="F13" s="10" t="s">
        <v>158</v>
      </c>
      <c r="G13" s="10" t="s">
        <v>176</v>
      </c>
      <c r="H13" s="10" t="s">
        <v>158</v>
      </c>
      <c r="I13" s="11" t="s">
        <v>461</v>
      </c>
      <c r="J13" s="11" t="s">
        <v>450</v>
      </c>
      <c r="K13" s="13" t="s">
        <v>38</v>
      </c>
      <c r="L13" s="13" t="s">
        <v>498</v>
      </c>
      <c r="M13" s="8" t="s">
        <v>462</v>
      </c>
      <c r="N13" s="12" t="s">
        <v>463</v>
      </c>
      <c r="O13" s="10" t="e" vm="1">
        <f ca="1">_xlfn.IMAGE("https://inahermex.com/wp-content/uploads/2026/02/ETH-1.png")</f>
        <v>#VALUE!</v>
      </c>
    </row>
    <row r="14" spans="1:15" ht="90" x14ac:dyDescent="0.2">
      <c r="A14" s="8" t="s">
        <v>464</v>
      </c>
      <c r="B14" s="9" t="s">
        <v>465</v>
      </c>
      <c r="C14" s="8" t="s">
        <v>455</v>
      </c>
      <c r="D14" s="8" t="s">
        <v>39</v>
      </c>
      <c r="E14" s="15" t="s">
        <v>466</v>
      </c>
      <c r="F14" s="10" t="s">
        <v>467</v>
      </c>
      <c r="G14" s="10" t="s">
        <v>78</v>
      </c>
      <c r="H14" s="10" t="s">
        <v>158</v>
      </c>
      <c r="I14" s="11" t="s">
        <v>461</v>
      </c>
      <c r="J14" s="11" t="s">
        <v>450</v>
      </c>
      <c r="K14" s="13" t="s">
        <v>38</v>
      </c>
      <c r="L14" s="13" t="s">
        <v>498</v>
      </c>
      <c r="M14" s="8" t="s">
        <v>468</v>
      </c>
      <c r="N14" s="12" t="s">
        <v>469</v>
      </c>
      <c r="O14" s="10" t="e" vm="1">
        <f ca="1">_xlfn.IMAGE("https://inahermex.com/wp-content/uploads/2026/02/ETH-2.png")</f>
        <v>#VALUE!</v>
      </c>
    </row>
    <row r="15" spans="1:15" ht="90" x14ac:dyDescent="0.2">
      <c r="A15" s="8" t="s">
        <v>470</v>
      </c>
      <c r="B15" s="9" t="s">
        <v>465</v>
      </c>
      <c r="C15" s="8" t="s">
        <v>455</v>
      </c>
      <c r="D15" s="8" t="s">
        <v>39</v>
      </c>
      <c r="E15" s="8" t="s">
        <v>68</v>
      </c>
      <c r="F15" s="10" t="s">
        <v>71</v>
      </c>
      <c r="G15" s="10" t="s">
        <v>471</v>
      </c>
      <c r="H15" s="10" t="s">
        <v>158</v>
      </c>
      <c r="I15" s="11" t="s">
        <v>461</v>
      </c>
      <c r="J15" s="11" t="s">
        <v>450</v>
      </c>
      <c r="K15" s="13" t="s">
        <v>38</v>
      </c>
      <c r="L15" s="13" t="s">
        <v>498</v>
      </c>
      <c r="M15" s="8" t="s">
        <v>472</v>
      </c>
      <c r="N15" s="12" t="s">
        <v>473</v>
      </c>
      <c r="O15" s="10" t="e" vm="1">
        <f ca="1">_xlfn.IMAGE("https://inahermex.com/wp-content/uploads/2022/08/ETH3.png")</f>
        <v>#VALUE!</v>
      </c>
    </row>
    <row r="16" spans="1:15" ht="165" x14ac:dyDescent="0.2">
      <c r="A16" s="8" t="s">
        <v>474</v>
      </c>
      <c r="B16" s="9" t="s">
        <v>454</v>
      </c>
      <c r="C16" s="8" t="s">
        <v>455</v>
      </c>
      <c r="D16" s="8" t="s">
        <v>39</v>
      </c>
      <c r="E16" s="8" t="s">
        <v>60</v>
      </c>
      <c r="F16" s="10" t="s">
        <v>71</v>
      </c>
      <c r="G16" s="10" t="s">
        <v>187</v>
      </c>
      <c r="H16" s="10" t="s">
        <v>488</v>
      </c>
      <c r="I16" s="11" t="s">
        <v>475</v>
      </c>
      <c r="J16" s="11" t="s">
        <v>476</v>
      </c>
      <c r="K16" s="13" t="s">
        <v>38</v>
      </c>
      <c r="L16" s="13" t="s">
        <v>498</v>
      </c>
      <c r="M16" s="8" t="s">
        <v>477</v>
      </c>
      <c r="N16" s="12" t="s">
        <v>478</v>
      </c>
      <c r="O16" s="10" t="e" vm="1">
        <f ca="1">_xlfn.IMAGE("https://inahermex.com/wp-content/uploads/2022/08/ETH-4-4.png")</f>
        <v>#VALUE!</v>
      </c>
    </row>
    <row r="17" spans="1:15" ht="105" x14ac:dyDescent="0.2">
      <c r="A17" s="8" t="s">
        <v>479</v>
      </c>
      <c r="B17" s="9" t="s">
        <v>480</v>
      </c>
      <c r="C17" s="8" t="s">
        <v>455</v>
      </c>
      <c r="D17" s="8" t="s">
        <v>39</v>
      </c>
      <c r="E17" s="8" t="s">
        <v>60</v>
      </c>
      <c r="F17" s="10" t="s">
        <v>45</v>
      </c>
      <c r="G17" s="10" t="s">
        <v>187</v>
      </c>
      <c r="H17" s="10" t="s">
        <v>71</v>
      </c>
      <c r="I17" s="11" t="s">
        <v>481</v>
      </c>
      <c r="J17" s="11" t="s">
        <v>39</v>
      </c>
      <c r="K17" s="13" t="s">
        <v>38</v>
      </c>
      <c r="L17" s="13" t="s">
        <v>498</v>
      </c>
      <c r="M17" s="8" t="s">
        <v>482</v>
      </c>
      <c r="N17" s="12" t="s">
        <v>483</v>
      </c>
      <c r="O17" s="10" t="e" vm="1">
        <f ca="1">_xlfn.IMAGE("https://inahermex.com/wp-content/uploads/2022/11/ETH-1.png")</f>
        <v>#VALUE!</v>
      </c>
    </row>
    <row r="18" spans="1:15" ht="105" x14ac:dyDescent="0.2">
      <c r="A18" s="8" t="s">
        <v>484</v>
      </c>
      <c r="B18" s="9" t="s">
        <v>480</v>
      </c>
      <c r="C18" s="8" t="s">
        <v>455</v>
      </c>
      <c r="D18" s="8" t="s">
        <v>39</v>
      </c>
      <c r="E18" s="16" t="s">
        <v>91</v>
      </c>
      <c r="F18" s="10" t="s">
        <v>45</v>
      </c>
      <c r="G18" s="10" t="s">
        <v>187</v>
      </c>
      <c r="H18" s="10" t="s">
        <v>71</v>
      </c>
      <c r="I18" s="11" t="s">
        <v>481</v>
      </c>
      <c r="J18" s="11" t="s">
        <v>39</v>
      </c>
      <c r="K18" s="13" t="s">
        <v>38</v>
      </c>
      <c r="L18" s="13" t="s">
        <v>498</v>
      </c>
      <c r="M18" s="8" t="s">
        <v>485</v>
      </c>
      <c r="N18" s="12" t="s">
        <v>486</v>
      </c>
      <c r="O18" s="10" t="e" vm="1">
        <f ca="1">_xlfn.IMAGE("https://inahermex.com/wp-content/uploads/2022/11/ETH6.png")</f>
        <v>#VALUE!</v>
      </c>
    </row>
    <row r="19" spans="1:15" ht="90" x14ac:dyDescent="0.2">
      <c r="A19" s="8" t="s">
        <v>487</v>
      </c>
      <c r="B19" s="9" t="s">
        <v>29</v>
      </c>
      <c r="C19" s="8" t="s">
        <v>455</v>
      </c>
      <c r="D19" s="8" t="s">
        <v>39</v>
      </c>
      <c r="E19" s="16" t="s">
        <v>60</v>
      </c>
      <c r="F19" s="10" t="s">
        <v>71</v>
      </c>
      <c r="G19" s="10" t="s">
        <v>187</v>
      </c>
      <c r="H19" s="10" t="s">
        <v>488</v>
      </c>
      <c r="I19" s="11" t="s">
        <v>461</v>
      </c>
      <c r="J19" s="11" t="s">
        <v>450</v>
      </c>
      <c r="K19" s="13" t="s">
        <v>38</v>
      </c>
      <c r="L19" s="13" t="s">
        <v>498</v>
      </c>
      <c r="M19" s="8" t="s">
        <v>489</v>
      </c>
      <c r="N19" s="12" t="s">
        <v>490</v>
      </c>
      <c r="O19" s="10" t="e" vm="1">
        <f ca="1">_xlfn.IMAGE("https://inahermex.com/wp-content/uploads/2026/02/ETH8-495x400.png")</f>
        <v>#VALUE!</v>
      </c>
    </row>
    <row r="20" spans="1:15" ht="75" x14ac:dyDescent="0.2">
      <c r="A20" s="8" t="s">
        <v>453</v>
      </c>
      <c r="B20" s="9" t="s">
        <v>454</v>
      </c>
      <c r="C20" s="8" t="s">
        <v>455</v>
      </c>
      <c r="D20" s="8" t="s">
        <v>39</v>
      </c>
      <c r="E20" s="9" t="s">
        <v>346</v>
      </c>
      <c r="F20" s="10" t="s">
        <v>71</v>
      </c>
      <c r="G20" s="10" t="s">
        <v>456</v>
      </c>
      <c r="H20" s="10" t="s">
        <v>71</v>
      </c>
      <c r="I20" s="11" t="s">
        <v>457</v>
      </c>
      <c r="J20" s="11" t="s">
        <v>450</v>
      </c>
      <c r="K20" s="11" t="s">
        <v>38</v>
      </c>
      <c r="L20" s="13" t="s">
        <v>532</v>
      </c>
      <c r="M20" s="8" t="s">
        <v>458</v>
      </c>
      <c r="N20" s="12" t="s">
        <v>459</v>
      </c>
      <c r="O20" s="10" t="e" vm="1">
        <f ca="1">_xlfn.IMAGE("https://inahermex.com/wp-content/uploads/2022/08/FNY-3.png")</f>
        <v>#VALUE!</v>
      </c>
    </row>
    <row r="21" spans="1:15" ht="90" x14ac:dyDescent="0.2">
      <c r="A21" s="8" t="s">
        <v>198</v>
      </c>
      <c r="B21" s="9" t="s">
        <v>140</v>
      </c>
      <c r="C21" s="8" t="s">
        <v>199</v>
      </c>
      <c r="D21" s="8" t="s">
        <v>200</v>
      </c>
      <c r="E21" s="8" t="s">
        <v>201</v>
      </c>
      <c r="F21" s="10" t="s">
        <v>167</v>
      </c>
      <c r="G21" s="10" t="s">
        <v>202</v>
      </c>
      <c r="H21" s="10" t="s">
        <v>22</v>
      </c>
      <c r="I21" s="11" t="s">
        <v>203</v>
      </c>
      <c r="J21" s="11" t="s">
        <v>204</v>
      </c>
      <c r="K21" s="11" t="s">
        <v>25</v>
      </c>
      <c r="L21" s="13" t="s">
        <v>534</v>
      </c>
      <c r="M21" s="8" t="s">
        <v>205</v>
      </c>
      <c r="N21" s="12" t="s">
        <v>206</v>
      </c>
      <c r="O21" s="10" t="e" vm="1">
        <f ca="1">_xlfn.IMAGE("https://inahermex.com/wp-content/uploads/2026/02/2-VISTAS-2.png")</f>
        <v>#VALUE!</v>
      </c>
    </row>
    <row r="22" spans="1:15" ht="105" x14ac:dyDescent="0.2">
      <c r="A22" s="8" t="s">
        <v>427</v>
      </c>
      <c r="B22" s="9" t="s">
        <v>140</v>
      </c>
      <c r="C22" s="8" t="s">
        <v>44</v>
      </c>
      <c r="D22" s="8" t="s">
        <v>155</v>
      </c>
      <c r="E22" s="8" t="s">
        <v>166</v>
      </c>
      <c r="F22" s="10" t="s">
        <v>167</v>
      </c>
      <c r="G22" s="10" t="s">
        <v>202</v>
      </c>
      <c r="H22" s="10" t="s">
        <v>22</v>
      </c>
      <c r="I22" s="11" t="s">
        <v>428</v>
      </c>
      <c r="J22" s="11" t="s">
        <v>429</v>
      </c>
      <c r="K22" s="11" t="s">
        <v>25</v>
      </c>
      <c r="L22" s="13" t="s">
        <v>534</v>
      </c>
      <c r="M22" s="8" t="s">
        <v>430</v>
      </c>
      <c r="N22" s="12" t="s">
        <v>431</v>
      </c>
      <c r="O22" s="10" t="e" vm="1">
        <f ca="1">_xlfn.IMAGE("https://inahermex.com/wp-content/uploads/2026/02/2-VISTAS-3.png")</f>
        <v>#VALUE!</v>
      </c>
    </row>
    <row r="23" spans="1:15" ht="45" x14ac:dyDescent="0.2">
      <c r="A23" s="8" t="s">
        <v>253</v>
      </c>
      <c r="B23" s="9" t="s">
        <v>254</v>
      </c>
      <c r="C23" s="8" t="s">
        <v>263</v>
      </c>
      <c r="D23" s="8" t="s">
        <v>155</v>
      </c>
      <c r="E23" s="8" t="s">
        <v>166</v>
      </c>
      <c r="F23" s="10" t="s">
        <v>167</v>
      </c>
      <c r="G23" s="10" t="s">
        <v>98</v>
      </c>
      <c r="H23" s="10" t="s">
        <v>159</v>
      </c>
      <c r="I23" s="11" t="s">
        <v>256</v>
      </c>
      <c r="J23" s="11" t="s">
        <v>250</v>
      </c>
      <c r="K23" s="11" t="s">
        <v>25</v>
      </c>
      <c r="L23" s="11" t="s">
        <v>25</v>
      </c>
      <c r="M23" s="8" t="s">
        <v>257</v>
      </c>
      <c r="N23" s="12" t="s">
        <v>258</v>
      </c>
      <c r="O23" s="10" t="e" vm="1">
        <f ca="1">_xlfn.IMAGE("https://inahermex.com/wp-content/uploads/2026/05/HZ-3.png")</f>
        <v>#VALUE!</v>
      </c>
    </row>
    <row r="24" spans="1:15" ht="90" x14ac:dyDescent="0.2">
      <c r="A24" s="8" t="s">
        <v>344</v>
      </c>
      <c r="B24" s="9" t="s">
        <v>16</v>
      </c>
      <c r="C24" s="8" t="s">
        <v>345</v>
      </c>
      <c r="D24" s="8" t="s">
        <v>39</v>
      </c>
      <c r="E24" s="8" t="s">
        <v>346</v>
      </c>
      <c r="F24" s="10" t="s">
        <v>347</v>
      </c>
      <c r="G24" s="10" t="s">
        <v>348</v>
      </c>
      <c r="H24" s="10" t="s">
        <v>45</v>
      </c>
      <c r="I24" s="11" t="s">
        <v>349</v>
      </c>
      <c r="J24" s="11" t="s">
        <v>350</v>
      </c>
      <c r="K24" s="11" t="s">
        <v>38</v>
      </c>
      <c r="L24" s="11" t="s">
        <v>38</v>
      </c>
      <c r="M24" s="8" t="s">
        <v>351</v>
      </c>
      <c r="N24" s="12" t="s">
        <v>352</v>
      </c>
      <c r="O24" s="10" t="e" vm="1">
        <f ca="1">_xlfn.IMAGE("https://inahermex.com/wp-content/uploads/2022/09/IMH-2.png")</f>
        <v>#VALUE!</v>
      </c>
    </row>
    <row r="25" spans="1:15" ht="105" x14ac:dyDescent="0.2">
      <c r="A25" s="8" t="s">
        <v>310</v>
      </c>
      <c r="B25" s="9" t="s">
        <v>282</v>
      </c>
      <c r="C25" s="8" t="s">
        <v>276</v>
      </c>
      <c r="D25" s="8" t="s">
        <v>142</v>
      </c>
      <c r="E25" s="8" t="s">
        <v>156</v>
      </c>
      <c r="F25" s="10" t="s">
        <v>167</v>
      </c>
      <c r="G25" s="10" t="s">
        <v>158</v>
      </c>
      <c r="H25" s="10" t="s">
        <v>159</v>
      </c>
      <c r="I25" s="11" t="s">
        <v>311</v>
      </c>
      <c r="J25" s="11" t="s">
        <v>312</v>
      </c>
      <c r="K25" s="11" t="s">
        <v>25</v>
      </c>
      <c r="L25" s="11" t="s">
        <v>25</v>
      </c>
      <c r="M25" s="8" t="s">
        <v>313</v>
      </c>
      <c r="N25" s="12" t="s">
        <v>314</v>
      </c>
      <c r="O25" s="10" t="e" vm="1">
        <f ca="1">_xlfn.IMAGE("https://inahermex.com/wp-content/uploads/2022/08/INX-3-1-1030x1030.png")</f>
        <v>#VALUE!</v>
      </c>
    </row>
    <row r="26" spans="1:15" ht="105" x14ac:dyDescent="0.2">
      <c r="A26" s="8" t="s">
        <v>274</v>
      </c>
      <c r="B26" s="9" t="s">
        <v>275</v>
      </c>
      <c r="C26" s="8" t="s">
        <v>292</v>
      </c>
      <c r="D26" s="8" t="s">
        <v>142</v>
      </c>
      <c r="E26" s="8" t="s">
        <v>156</v>
      </c>
      <c r="F26" s="10" t="s">
        <v>167</v>
      </c>
      <c r="G26" s="10" t="s">
        <v>158</v>
      </c>
      <c r="H26" s="14" t="s">
        <v>159</v>
      </c>
      <c r="I26" s="11" t="s">
        <v>277</v>
      </c>
      <c r="J26" s="11" t="s">
        <v>278</v>
      </c>
      <c r="K26" s="11" t="s">
        <v>25</v>
      </c>
      <c r="L26" s="11" t="s">
        <v>25</v>
      </c>
      <c r="M26" s="8" t="s">
        <v>279</v>
      </c>
      <c r="N26" s="12" t="s">
        <v>280</v>
      </c>
      <c r="O26" s="10" t="e" vm="1">
        <f ca="1">_xlfn.IMAGE("https://inahermex.com/wp-content/uploads/2023/03/KT-3-1030x1030.png")</f>
        <v>#VALUE!</v>
      </c>
    </row>
    <row r="27" spans="1:15" ht="165" x14ac:dyDescent="0.2">
      <c r="A27" s="8" t="s">
        <v>315</v>
      </c>
      <c r="B27" s="9" t="s">
        <v>282</v>
      </c>
      <c r="C27" s="8" t="s">
        <v>306</v>
      </c>
      <c r="D27" s="8" t="s">
        <v>142</v>
      </c>
      <c r="E27" s="8" t="s">
        <v>156</v>
      </c>
      <c r="F27" s="10" t="s">
        <v>167</v>
      </c>
      <c r="G27" s="10" t="s">
        <v>202</v>
      </c>
      <c r="H27" s="14" t="s">
        <v>159</v>
      </c>
      <c r="I27" s="11" t="s">
        <v>316</v>
      </c>
      <c r="J27" s="11" t="s">
        <v>278</v>
      </c>
      <c r="K27" s="11" t="s">
        <v>25</v>
      </c>
      <c r="L27" s="11" t="s">
        <v>25</v>
      </c>
      <c r="M27" s="8" t="s">
        <v>317</v>
      </c>
      <c r="N27" s="12" t="s">
        <v>318</v>
      </c>
      <c r="O27" s="10" t="e" vm="1">
        <f ca="1">_xlfn.IMAGE("https://inahermex.com/wp-content/uploads/2023/03/KTL-3-1-1030x1030.png")</f>
        <v>#VALUE!</v>
      </c>
    </row>
    <row r="28" spans="1:15" ht="120" x14ac:dyDescent="0.2">
      <c r="A28" s="8" t="s">
        <v>281</v>
      </c>
      <c r="B28" s="9" t="s">
        <v>282</v>
      </c>
      <c r="C28" s="8" t="s">
        <v>276</v>
      </c>
      <c r="D28" s="8" t="s">
        <v>142</v>
      </c>
      <c r="E28" s="8" t="s">
        <v>156</v>
      </c>
      <c r="F28" s="10" t="s">
        <v>167</v>
      </c>
      <c r="G28" s="10" t="s">
        <v>158</v>
      </c>
      <c r="H28" s="10" t="s">
        <v>159</v>
      </c>
      <c r="I28" s="11" t="s">
        <v>283</v>
      </c>
      <c r="J28" s="11" t="s">
        <v>284</v>
      </c>
      <c r="K28" s="11" t="s">
        <v>25</v>
      </c>
      <c r="L28" s="11" t="s">
        <v>25</v>
      </c>
      <c r="M28" s="8" t="s">
        <v>285</v>
      </c>
      <c r="N28" s="12" t="s">
        <v>286</v>
      </c>
      <c r="O28" s="10" t="e" vm="1">
        <f ca="1">_xlfn.IMAGE("https://inahermex.com/wp-content/uploads/2023/03/KX-3-3-1030x1030.png")</f>
        <v>#VALUE!</v>
      </c>
    </row>
    <row r="29" spans="1:15" ht="90" x14ac:dyDescent="0.2">
      <c r="A29" s="8" t="s">
        <v>319</v>
      </c>
      <c r="B29" s="9" t="s">
        <v>320</v>
      </c>
      <c r="C29" s="8" t="s">
        <v>306</v>
      </c>
      <c r="D29" s="8" t="s">
        <v>155</v>
      </c>
      <c r="E29" s="8" t="s">
        <v>166</v>
      </c>
      <c r="F29" s="10" t="s">
        <v>45</v>
      </c>
      <c r="G29" s="10" t="s">
        <v>321</v>
      </c>
      <c r="H29" s="10" t="s">
        <v>22</v>
      </c>
      <c r="I29" s="11" t="s">
        <v>322</v>
      </c>
      <c r="J29" s="11" t="s">
        <v>284</v>
      </c>
      <c r="K29" s="13" t="s">
        <v>25</v>
      </c>
      <c r="L29" s="13" t="s">
        <v>25</v>
      </c>
      <c r="M29" s="8" t="s">
        <v>323</v>
      </c>
      <c r="N29" s="12" t="s">
        <v>324</v>
      </c>
      <c r="O29" s="10" t="e" vm="1">
        <f ca="1">_xlfn.IMAGE("https://inahermex.com/wp-content/uploads/2025/03/LE-2-1-1030x1030.png")</f>
        <v>#VALUE!</v>
      </c>
    </row>
    <row r="30" spans="1:15" ht="90" x14ac:dyDescent="0.2">
      <c r="A30" s="8" t="s">
        <v>185</v>
      </c>
      <c r="B30" s="9" t="s">
        <v>43</v>
      </c>
      <c r="C30" s="8" t="s">
        <v>525</v>
      </c>
      <c r="D30" s="8" t="s">
        <v>18</v>
      </c>
      <c r="E30" s="8" t="s">
        <v>19</v>
      </c>
      <c r="F30" s="10" t="s">
        <v>45</v>
      </c>
      <c r="G30" s="10" t="s">
        <v>187</v>
      </c>
      <c r="H30" s="10" t="s">
        <v>22</v>
      </c>
      <c r="I30" s="11" t="s">
        <v>188</v>
      </c>
      <c r="J30" s="11" t="s">
        <v>189</v>
      </c>
      <c r="K30" s="11" t="s">
        <v>25</v>
      </c>
      <c r="L30" s="11" t="s">
        <v>25</v>
      </c>
      <c r="M30" s="8" t="s">
        <v>190</v>
      </c>
      <c r="N30" s="12" t="s">
        <v>191</v>
      </c>
      <c r="O30" s="10" t="e" vm="1">
        <f ca="1">_xlfn.IMAGE("https://inahermex.com/wp-content/uploads/2022/08/LTC-2-2-1030x1030.png")</f>
        <v>#VALUE!</v>
      </c>
    </row>
    <row r="31" spans="1:15" ht="90" x14ac:dyDescent="0.2">
      <c r="A31" s="8" t="s">
        <v>432</v>
      </c>
      <c r="B31" s="9" t="s">
        <v>16</v>
      </c>
      <c r="C31" s="8" t="s">
        <v>524</v>
      </c>
      <c r="D31" s="8" t="s">
        <v>18</v>
      </c>
      <c r="E31" s="8" t="s">
        <v>19</v>
      </c>
      <c r="F31" s="10" t="s">
        <v>433</v>
      </c>
      <c r="G31" s="10" t="s">
        <v>98</v>
      </c>
      <c r="H31" s="10" t="s">
        <v>22</v>
      </c>
      <c r="I31" s="11" t="s">
        <v>434</v>
      </c>
      <c r="J31" s="11" t="s">
        <v>435</v>
      </c>
      <c r="K31" s="11" t="s">
        <v>25</v>
      </c>
      <c r="L31" s="11" t="s">
        <v>25</v>
      </c>
      <c r="M31" s="8" t="s">
        <v>436</v>
      </c>
      <c r="N31" s="12" t="s">
        <v>437</v>
      </c>
      <c r="O31" s="10" t="e" vm="1">
        <f ca="1">_xlfn.IMAGE("https://inahermex.com/wp-content/uploads/2026/02/M-250-2026.png")</f>
        <v>#VALUE!</v>
      </c>
    </row>
    <row r="32" spans="1:15" ht="105" x14ac:dyDescent="0.2">
      <c r="A32" s="8" t="s">
        <v>149</v>
      </c>
      <c r="B32" s="9" t="s">
        <v>140</v>
      </c>
      <c r="C32" s="8" t="s">
        <v>524</v>
      </c>
      <c r="D32" s="8" t="s">
        <v>142</v>
      </c>
      <c r="E32" s="8" t="s">
        <v>143</v>
      </c>
      <c r="F32" s="10" t="s">
        <v>150</v>
      </c>
      <c r="G32" s="10" t="s">
        <v>145</v>
      </c>
      <c r="H32" s="10" t="s">
        <v>22</v>
      </c>
      <c r="I32" s="11" t="s">
        <v>146</v>
      </c>
      <c r="J32" s="11" t="s">
        <v>48</v>
      </c>
      <c r="K32" s="11" t="s">
        <v>25</v>
      </c>
      <c r="L32" s="11" t="s">
        <v>25</v>
      </c>
      <c r="M32" s="8" t="s">
        <v>151</v>
      </c>
      <c r="N32" s="12" t="s">
        <v>152</v>
      </c>
      <c r="O32" s="10" t="e" vm="1">
        <f ca="1">_xlfn.IMAGE("https://inahermex.com/wp-content/uploads/2022/08/M-338.1.png")</f>
        <v>#VALUE!</v>
      </c>
    </row>
    <row r="33" spans="1:15" ht="75" x14ac:dyDescent="0.2">
      <c r="A33" s="8" t="s">
        <v>153</v>
      </c>
      <c r="B33" s="9" t="s">
        <v>154</v>
      </c>
      <c r="C33" s="8" t="s">
        <v>524</v>
      </c>
      <c r="D33" s="8" t="s">
        <v>142</v>
      </c>
      <c r="E33" s="8" t="s">
        <v>143</v>
      </c>
      <c r="F33" s="10" t="s">
        <v>157</v>
      </c>
      <c r="G33" s="10" t="s">
        <v>158</v>
      </c>
      <c r="H33" s="10" t="s">
        <v>159</v>
      </c>
      <c r="I33" s="11" t="s">
        <v>160</v>
      </c>
      <c r="J33" s="11" t="s">
        <v>161</v>
      </c>
      <c r="K33" s="11" t="s">
        <v>25</v>
      </c>
      <c r="L33" s="11" t="s">
        <v>25</v>
      </c>
      <c r="M33" s="8" t="s">
        <v>162</v>
      </c>
      <c r="N33" s="12" t="s">
        <v>163</v>
      </c>
      <c r="O33" s="10" t="e" vm="1">
        <f ca="1">_xlfn.IMAGE("https://inahermex.com/wp-content/uploads/2022/08/M-400-3.png")</f>
        <v>#VALUE!</v>
      </c>
    </row>
    <row r="34" spans="1:15" ht="90" x14ac:dyDescent="0.2">
      <c r="A34" s="8" t="s">
        <v>369</v>
      </c>
      <c r="B34" s="9" t="s">
        <v>370</v>
      </c>
      <c r="C34" s="8" t="s">
        <v>186</v>
      </c>
      <c r="D34" s="8" t="s">
        <v>155</v>
      </c>
      <c r="E34" s="8" t="s">
        <v>166</v>
      </c>
      <c r="F34" s="13" t="s">
        <v>530</v>
      </c>
      <c r="G34" s="10" t="s">
        <v>371</v>
      </c>
      <c r="H34" s="10" t="s">
        <v>22</v>
      </c>
      <c r="I34" s="11" t="s">
        <v>372</v>
      </c>
      <c r="J34" s="11" t="s">
        <v>373</v>
      </c>
      <c r="K34" s="11" t="s">
        <v>38</v>
      </c>
      <c r="L34" s="11" t="s">
        <v>38</v>
      </c>
      <c r="M34" s="8" t="s">
        <v>374</v>
      </c>
      <c r="N34" s="12" t="s">
        <v>375</v>
      </c>
      <c r="O34" s="10" t="e" vm="1">
        <f ca="1">_xlfn.IMAGE("https://inahermex.com/wp-content/uploads/2022/08/MBR-1-1030x1030.png")</f>
        <v>#VALUE!</v>
      </c>
    </row>
    <row r="35" spans="1:15" ht="90" x14ac:dyDescent="0.2">
      <c r="A35" s="8" t="s">
        <v>405</v>
      </c>
      <c r="B35" s="9" t="s">
        <v>154</v>
      </c>
      <c r="C35" s="8" t="s">
        <v>524</v>
      </c>
      <c r="D35" s="8" t="s">
        <v>39</v>
      </c>
      <c r="E35" s="8" t="s">
        <v>83</v>
      </c>
      <c r="F35" s="10" t="s">
        <v>406</v>
      </c>
      <c r="G35" s="10" t="s">
        <v>20</v>
      </c>
      <c r="H35" s="14" t="s">
        <v>159</v>
      </c>
      <c r="I35" s="11" t="s">
        <v>407</v>
      </c>
      <c r="J35" s="11" t="s">
        <v>408</v>
      </c>
      <c r="K35" s="13" t="s">
        <v>38</v>
      </c>
      <c r="L35" s="13" t="s">
        <v>533</v>
      </c>
      <c r="M35" s="8" t="s">
        <v>409</v>
      </c>
      <c r="N35" s="12" t="s">
        <v>410</v>
      </c>
      <c r="O35" s="10" t="e" vm="1">
        <f ca="1">_xlfn.IMAGE("https://inahermex.com/wp-content/uploads/2022/08/MD880-1030x1030.png")</f>
        <v>#VALUE!</v>
      </c>
    </row>
    <row r="36" spans="1:15" ht="105" x14ac:dyDescent="0.2">
      <c r="A36" s="8" t="s">
        <v>139</v>
      </c>
      <c r="B36" s="9" t="s">
        <v>140</v>
      </c>
      <c r="C36" s="8" t="s">
        <v>141</v>
      </c>
      <c r="D36" s="8" t="s">
        <v>142</v>
      </c>
      <c r="E36" s="8" t="s">
        <v>143</v>
      </c>
      <c r="F36" s="10" t="s">
        <v>144</v>
      </c>
      <c r="G36" s="10" t="s">
        <v>145</v>
      </c>
      <c r="H36" s="10" t="s">
        <v>22</v>
      </c>
      <c r="I36" s="11" t="s">
        <v>146</v>
      </c>
      <c r="J36" s="11" t="s">
        <v>48</v>
      </c>
      <c r="K36" s="11" t="s">
        <v>25</v>
      </c>
      <c r="L36" s="13" t="s">
        <v>38</v>
      </c>
      <c r="M36" s="8" t="s">
        <v>147</v>
      </c>
      <c r="N36" s="12" t="s">
        <v>148</v>
      </c>
      <c r="O36" s="10" t="e" vm="1">
        <f ca="1">_xlfn.IMAGE("https://inahermex.com/wp-content/uploads/2025/07/MF338.png")</f>
        <v>#VALUE!</v>
      </c>
    </row>
    <row r="37" spans="1:15" ht="75" x14ac:dyDescent="0.2">
      <c r="A37" s="8" t="s">
        <v>42</v>
      </c>
      <c r="B37" s="9" t="s">
        <v>43</v>
      </c>
      <c r="C37" s="8" t="s">
        <v>524</v>
      </c>
      <c r="D37" s="8" t="s">
        <v>18</v>
      </c>
      <c r="E37" s="8" t="s">
        <v>19</v>
      </c>
      <c r="F37" s="10" t="s">
        <v>45</v>
      </c>
      <c r="G37" s="10" t="s">
        <v>46</v>
      </c>
      <c r="H37" s="10" t="s">
        <v>22</v>
      </c>
      <c r="I37" s="11" t="s">
        <v>47</v>
      </c>
      <c r="J37" s="11" t="s">
        <v>48</v>
      </c>
      <c r="K37" s="11" t="s">
        <v>25</v>
      </c>
      <c r="L37" s="11" t="s">
        <v>25</v>
      </c>
      <c r="M37" s="8" t="s">
        <v>50</v>
      </c>
      <c r="N37" s="12" t="s">
        <v>51</v>
      </c>
      <c r="O37" s="10" t="e" vm="1">
        <f ca="1">_xlfn.IMAGE("https://inahermex.com/wp-content/uploads/2022/08/MKD-2-3.png")</f>
        <v>#VALUE!</v>
      </c>
    </row>
    <row r="38" spans="1:15" ht="120" x14ac:dyDescent="0.2">
      <c r="A38" s="8" t="s">
        <v>359</v>
      </c>
      <c r="B38" s="9" t="s">
        <v>360</v>
      </c>
      <c r="C38" s="8" t="s">
        <v>524</v>
      </c>
      <c r="D38" s="8" t="s">
        <v>142</v>
      </c>
      <c r="E38" s="8" t="s">
        <v>143</v>
      </c>
      <c r="F38" s="10" t="s">
        <v>167</v>
      </c>
      <c r="G38" s="10" t="s">
        <v>168</v>
      </c>
      <c r="H38" s="10" t="s">
        <v>22</v>
      </c>
      <c r="I38" s="11" t="s">
        <v>361</v>
      </c>
      <c r="J38" s="11" t="s">
        <v>48</v>
      </c>
      <c r="K38" s="11" t="s">
        <v>25</v>
      </c>
      <c r="L38" s="11" t="s">
        <v>25</v>
      </c>
      <c r="M38" s="8" t="s">
        <v>362</v>
      </c>
      <c r="N38" s="12" t="s">
        <v>363</v>
      </c>
      <c r="O38" s="10" t="e" vm="1">
        <f ca="1">_xlfn.IMAGE("https://inahermex.com/wp-content/uploads/2022/10/MKD-3-1030x1030.png")</f>
        <v>#VALUE!</v>
      </c>
    </row>
    <row r="39" spans="1:15" ht="75" x14ac:dyDescent="0.2">
      <c r="A39" s="8" t="s">
        <v>164</v>
      </c>
      <c r="B39" s="9" t="s">
        <v>43</v>
      </c>
      <c r="C39" s="8" t="s">
        <v>165</v>
      </c>
      <c r="D39" s="8" t="s">
        <v>155</v>
      </c>
      <c r="E39" s="8" t="s">
        <v>166</v>
      </c>
      <c r="F39" s="10" t="s">
        <v>167</v>
      </c>
      <c r="G39" s="10" t="s">
        <v>168</v>
      </c>
      <c r="H39" s="10" t="s">
        <v>22</v>
      </c>
      <c r="I39" s="11" t="s">
        <v>169</v>
      </c>
      <c r="J39" s="11" t="s">
        <v>170</v>
      </c>
      <c r="K39" s="11" t="s">
        <v>25</v>
      </c>
      <c r="L39" s="11" t="s">
        <v>25</v>
      </c>
      <c r="M39" s="8" t="s">
        <v>171</v>
      </c>
      <c r="N39" s="12" t="s">
        <v>172</v>
      </c>
      <c r="O39" s="10" t="e" vm="1">
        <f ca="1">_xlfn.IMAGE("https://inahermex.com/wp-content/uploads/2022/10/mkdr.png")</f>
        <v>#VALUE!</v>
      </c>
    </row>
    <row r="40" spans="1:15" ht="60" x14ac:dyDescent="0.2">
      <c r="A40" s="8" t="s">
        <v>376</v>
      </c>
      <c r="B40" s="9" t="s">
        <v>370</v>
      </c>
      <c r="C40" s="8" t="s">
        <v>186</v>
      </c>
      <c r="D40" s="8" t="s">
        <v>155</v>
      </c>
      <c r="E40" s="8" t="s">
        <v>166</v>
      </c>
      <c r="F40" s="10" t="s">
        <v>167</v>
      </c>
      <c r="G40" s="10" t="s">
        <v>371</v>
      </c>
      <c r="H40" s="10" t="s">
        <v>22</v>
      </c>
      <c r="I40" s="11" t="s">
        <v>377</v>
      </c>
      <c r="J40" s="11" t="s">
        <v>378</v>
      </c>
      <c r="K40" s="11" t="s">
        <v>38</v>
      </c>
      <c r="L40" s="11" t="s">
        <v>38</v>
      </c>
      <c r="M40" s="8" t="s">
        <v>379</v>
      </c>
      <c r="N40" s="12" t="s">
        <v>380</v>
      </c>
      <c r="O40" s="10" t="e" vm="1">
        <f ca="1">_xlfn.IMAGE("https://inahermex.com/wp-content/uploads/2022/08/1.4-1030x1030.png")</f>
        <v>#VALUE!</v>
      </c>
    </row>
    <row r="41" spans="1:15" ht="165" x14ac:dyDescent="0.2">
      <c r="A41" s="8" t="s">
        <v>418</v>
      </c>
      <c r="B41" s="9" t="s">
        <v>247</v>
      </c>
      <c r="C41" s="8" t="s">
        <v>276</v>
      </c>
      <c r="D41" s="8" t="s">
        <v>142</v>
      </c>
      <c r="E41" s="8" t="s">
        <v>156</v>
      </c>
      <c r="F41" s="10" t="s">
        <v>167</v>
      </c>
      <c r="G41" s="10" t="s">
        <v>158</v>
      </c>
      <c r="H41" s="14" t="s">
        <v>159</v>
      </c>
      <c r="I41" s="11" t="s">
        <v>327</v>
      </c>
      <c r="J41" s="11" t="s">
        <v>419</v>
      </c>
      <c r="K41" s="11" t="s">
        <v>25</v>
      </c>
      <c r="L41" s="11" t="s">
        <v>420</v>
      </c>
      <c r="M41" s="8" t="s">
        <v>421</v>
      </c>
      <c r="N41" s="12" t="s">
        <v>422</v>
      </c>
      <c r="O41" s="10" t="e" vm="1">
        <f ca="1">_xlfn.IMAGE("https://inahermex.com/wp-content/uploads/2022/08/mLK-3-1-1030x1030.png")</f>
        <v>#VALUE!</v>
      </c>
    </row>
    <row r="42" spans="1:15" ht="165" x14ac:dyDescent="0.2">
      <c r="A42" s="8" t="s">
        <v>423</v>
      </c>
      <c r="B42" s="9" t="s">
        <v>424</v>
      </c>
      <c r="C42" s="8" t="s">
        <v>276</v>
      </c>
      <c r="D42" s="8" t="s">
        <v>142</v>
      </c>
      <c r="E42" s="8" t="s">
        <v>156</v>
      </c>
      <c r="F42" s="10" t="s">
        <v>157</v>
      </c>
      <c r="G42" s="10" t="s">
        <v>69</v>
      </c>
      <c r="H42" s="14" t="s">
        <v>159</v>
      </c>
      <c r="I42" s="11" t="s">
        <v>327</v>
      </c>
      <c r="J42" s="11" t="s">
        <v>419</v>
      </c>
      <c r="K42" s="11" t="s">
        <v>25</v>
      </c>
      <c r="L42" s="11" t="s">
        <v>420</v>
      </c>
      <c r="M42" s="8" t="s">
        <v>425</v>
      </c>
      <c r="N42" s="12" t="s">
        <v>426</v>
      </c>
      <c r="O42" s="10" t="e" vm="1">
        <f ca="1">_xlfn.IMAGE("https://inahermex.com/wp-content/uploads/2023/04/MLK-4-1030x1030.png")</f>
        <v>#VALUE!</v>
      </c>
    </row>
    <row r="43" spans="1:15" ht="165" x14ac:dyDescent="0.2">
      <c r="A43" s="8" t="s">
        <v>325</v>
      </c>
      <c r="B43" s="9" t="s">
        <v>282</v>
      </c>
      <c r="C43" s="8" t="s">
        <v>306</v>
      </c>
      <c r="D43" s="8" t="s">
        <v>142</v>
      </c>
      <c r="E43" s="8" t="s">
        <v>156</v>
      </c>
      <c r="F43" s="10" t="s">
        <v>167</v>
      </c>
      <c r="G43" s="10" t="s">
        <v>326</v>
      </c>
      <c r="H43" s="14" t="s">
        <v>159</v>
      </c>
      <c r="I43" s="11" t="s">
        <v>327</v>
      </c>
      <c r="J43" s="11" t="s">
        <v>328</v>
      </c>
      <c r="K43" s="11" t="s">
        <v>25</v>
      </c>
      <c r="L43" s="11" t="s">
        <v>25</v>
      </c>
      <c r="M43" s="8" t="s">
        <v>329</v>
      </c>
      <c r="N43" s="12" t="s">
        <v>330</v>
      </c>
      <c r="O43" s="10" t="e" vm="1">
        <f ca="1">_xlfn.IMAGE("https://inahermex.com/wp-content/uploads/2022/08/1-53-1030x1030.png")</f>
        <v>#VALUE!</v>
      </c>
    </row>
    <row r="44" spans="1:15" ht="75" x14ac:dyDescent="0.2">
      <c r="A44" s="8" t="s">
        <v>207</v>
      </c>
      <c r="B44" s="9" t="s">
        <v>140</v>
      </c>
      <c r="C44" s="8" t="s">
        <v>165</v>
      </c>
      <c r="D44" s="8" t="s">
        <v>200</v>
      </c>
      <c r="E44" s="8" t="s">
        <v>201</v>
      </c>
      <c r="F44" s="10" t="s">
        <v>150</v>
      </c>
      <c r="G44" s="10" t="s">
        <v>208</v>
      </c>
      <c r="H44" s="10" t="s">
        <v>22</v>
      </c>
      <c r="I44" s="11" t="s">
        <v>209</v>
      </c>
      <c r="J44" s="11" t="s">
        <v>210</v>
      </c>
      <c r="K44" s="11" t="s">
        <v>25</v>
      </c>
      <c r="L44" s="11" t="s">
        <v>25</v>
      </c>
      <c r="M44" s="8" t="s">
        <v>211</v>
      </c>
      <c r="N44" s="12" t="s">
        <v>212</v>
      </c>
      <c r="O44" s="10" t="e" vm="1">
        <f ca="1">_xlfn.IMAGE("https://inahermex.com/wp-content/uploads/2026/02/1-14.png")</f>
        <v>#VALUE!</v>
      </c>
    </row>
    <row r="45" spans="1:15" ht="75" x14ac:dyDescent="0.2">
      <c r="A45" s="8" t="s">
        <v>213</v>
      </c>
      <c r="B45" s="9" t="s">
        <v>154</v>
      </c>
      <c r="C45" s="8" t="s">
        <v>165</v>
      </c>
      <c r="D45" s="8" t="s">
        <v>200</v>
      </c>
      <c r="E45" s="8" t="s">
        <v>201</v>
      </c>
      <c r="F45" s="10" t="s">
        <v>157</v>
      </c>
      <c r="G45" s="10" t="s">
        <v>202</v>
      </c>
      <c r="H45" s="10" t="s">
        <v>22</v>
      </c>
      <c r="I45" s="11" t="s">
        <v>209</v>
      </c>
      <c r="J45" s="11" t="s">
        <v>210</v>
      </c>
      <c r="K45" s="11" t="s">
        <v>25</v>
      </c>
      <c r="L45" s="11" t="s">
        <v>25</v>
      </c>
      <c r="M45" s="8" t="s">
        <v>214</v>
      </c>
      <c r="N45" s="12" t="s">
        <v>212</v>
      </c>
      <c r="O45" s="10" t="e" vm="1">
        <f ca="1">_xlfn.IMAGE("https://inahermex.com/wp-content/uploads/2026/02/1-14.png")</f>
        <v>#VALUE!</v>
      </c>
    </row>
    <row r="46" spans="1:15" ht="120" x14ac:dyDescent="0.2">
      <c r="A46" s="8" t="s">
        <v>491</v>
      </c>
      <c r="B46" s="9" t="s">
        <v>29</v>
      </c>
      <c r="C46" s="8" t="s">
        <v>455</v>
      </c>
      <c r="D46" s="8" t="s">
        <v>39</v>
      </c>
      <c r="E46" s="8" t="s">
        <v>91</v>
      </c>
      <c r="F46" s="10" t="s">
        <v>167</v>
      </c>
      <c r="G46" s="10" t="s">
        <v>492</v>
      </c>
      <c r="H46" s="10" t="s">
        <v>84</v>
      </c>
      <c r="I46" s="11" t="s">
        <v>493</v>
      </c>
      <c r="J46" s="11" t="s">
        <v>39</v>
      </c>
      <c r="K46" s="13" t="s">
        <v>38</v>
      </c>
      <c r="L46" s="13" t="s">
        <v>498</v>
      </c>
      <c r="M46" s="8" t="s">
        <v>494</v>
      </c>
      <c r="N46" s="12" t="s">
        <v>495</v>
      </c>
      <c r="O46" s="10" t="e" vm="1">
        <f ca="1">_xlfn.IMAGE("https://inahermex.com/wp-content/uploads/2022/11/MRN.png")</f>
        <v>#VALUE!</v>
      </c>
    </row>
    <row r="47" spans="1:15" ht="120" x14ac:dyDescent="0.2">
      <c r="A47" s="8" t="s">
        <v>496</v>
      </c>
      <c r="B47" s="9" t="s">
        <v>497</v>
      </c>
      <c r="C47" s="8" t="s">
        <v>455</v>
      </c>
      <c r="D47" s="8" t="s">
        <v>39</v>
      </c>
      <c r="E47" s="8" t="s">
        <v>60</v>
      </c>
      <c r="F47" s="10" t="s">
        <v>167</v>
      </c>
      <c r="G47" s="10" t="s">
        <v>448</v>
      </c>
      <c r="H47" s="10" t="s">
        <v>71</v>
      </c>
      <c r="I47" s="11" t="s">
        <v>493</v>
      </c>
      <c r="J47" s="11" t="s">
        <v>39</v>
      </c>
      <c r="K47" s="13" t="s">
        <v>38</v>
      </c>
      <c r="L47" s="11" t="s">
        <v>498</v>
      </c>
      <c r="M47" s="8" t="s">
        <v>499</v>
      </c>
      <c r="N47" s="12" t="s">
        <v>500</v>
      </c>
      <c r="O47" s="10" t="e" vm="1">
        <f ca="1">_xlfn.IMAGE("https://inahermex.com/wp-content/uploads/2022/11/MRNB.png")</f>
        <v>#VALUE!</v>
      </c>
    </row>
    <row r="48" spans="1:15" ht="90" x14ac:dyDescent="0.2">
      <c r="A48" s="8" t="s">
        <v>381</v>
      </c>
      <c r="B48" s="9" t="s">
        <v>370</v>
      </c>
      <c r="C48" s="8" t="s">
        <v>186</v>
      </c>
      <c r="D48" s="8" t="s">
        <v>155</v>
      </c>
      <c r="E48" s="8" t="s">
        <v>166</v>
      </c>
      <c r="F48" s="13" t="s">
        <v>529</v>
      </c>
      <c r="G48" s="10" t="s">
        <v>371</v>
      </c>
      <c r="H48" s="10" t="s">
        <v>22</v>
      </c>
      <c r="I48" s="11" t="s">
        <v>372</v>
      </c>
      <c r="J48" s="11" t="s">
        <v>378</v>
      </c>
      <c r="K48" s="11" t="s">
        <v>38</v>
      </c>
      <c r="L48" s="11" t="s">
        <v>38</v>
      </c>
      <c r="M48" s="8" t="s">
        <v>382</v>
      </c>
      <c r="N48" s="12" t="s">
        <v>383</v>
      </c>
      <c r="O48" s="10" t="e" vm="1">
        <f ca="1">_xlfn.IMAGE("https://inahermex.com/wp-content/uploads/2023/06/MS-3-1030x1030.png")</f>
        <v>#VALUE!</v>
      </c>
    </row>
    <row r="49" spans="1:15" ht="90" x14ac:dyDescent="0.2">
      <c r="A49" s="8" t="s">
        <v>353</v>
      </c>
      <c r="B49" s="9" t="s">
        <v>29</v>
      </c>
      <c r="C49" s="8" t="s">
        <v>345</v>
      </c>
      <c r="D49" s="8" t="s">
        <v>31</v>
      </c>
      <c r="E49" s="8" t="s">
        <v>32</v>
      </c>
      <c r="F49" s="10" t="s">
        <v>33</v>
      </c>
      <c r="G49" s="10" t="s">
        <v>34</v>
      </c>
      <c r="H49" s="10" t="s">
        <v>35</v>
      </c>
      <c r="I49" s="11" t="s">
        <v>36</v>
      </c>
      <c r="J49" s="11" t="s">
        <v>37</v>
      </c>
      <c r="K49" s="11" t="s">
        <v>38</v>
      </c>
      <c r="L49" s="11" t="s">
        <v>38</v>
      </c>
      <c r="M49" s="8" t="s">
        <v>354</v>
      </c>
      <c r="N49" s="12" t="s">
        <v>355</v>
      </c>
      <c r="O49" s="10" t="e" vm="1">
        <f ca="1">_xlfn.IMAGE("https://inahermex.com/wp-content/uploads/2023/01/MT-1-1-1030x1030.png")</f>
        <v>#VALUE!</v>
      </c>
    </row>
    <row r="50" spans="1:15" ht="90" x14ac:dyDescent="0.2">
      <c r="A50" s="8" t="s">
        <v>28</v>
      </c>
      <c r="B50" s="9" t="s">
        <v>29</v>
      </c>
      <c r="C50" s="8" t="s">
        <v>30</v>
      </c>
      <c r="D50" s="8" t="s">
        <v>31</v>
      </c>
      <c r="E50" s="8" t="s">
        <v>32</v>
      </c>
      <c r="F50" s="10" t="s">
        <v>33</v>
      </c>
      <c r="G50" s="10" t="s">
        <v>34</v>
      </c>
      <c r="H50" s="10" t="s">
        <v>35</v>
      </c>
      <c r="I50" s="11" t="s">
        <v>36</v>
      </c>
      <c r="J50" s="11" t="s">
        <v>37</v>
      </c>
      <c r="K50" s="11" t="s">
        <v>38</v>
      </c>
      <c r="L50" s="11" t="s">
        <v>38</v>
      </c>
      <c r="M50" s="8" t="s">
        <v>40</v>
      </c>
      <c r="N50" s="12" t="s">
        <v>41</v>
      </c>
      <c r="O50" s="10" t="e" vm="1">
        <f ca="1">_xlfn.IMAGE("https://inahermex.com/wp-content/uploads/2025/04/MT-1-CON-PAD-1.png")</f>
        <v>#VALUE!</v>
      </c>
    </row>
    <row r="51" spans="1:15" ht="90" x14ac:dyDescent="0.2">
      <c r="A51" s="8" t="s">
        <v>356</v>
      </c>
      <c r="B51" s="9" t="s">
        <v>43</v>
      </c>
      <c r="C51" s="8" t="s">
        <v>345</v>
      </c>
      <c r="D51" s="8" t="s">
        <v>18</v>
      </c>
      <c r="E51" s="8" t="s">
        <v>19</v>
      </c>
      <c r="F51" s="10" t="s">
        <v>45</v>
      </c>
      <c r="G51" s="10" t="s">
        <v>53</v>
      </c>
      <c r="H51" s="10" t="s">
        <v>22</v>
      </c>
      <c r="I51" s="11" t="s">
        <v>54</v>
      </c>
      <c r="J51" s="11" t="s">
        <v>37</v>
      </c>
      <c r="K51" s="11" t="s">
        <v>25</v>
      </c>
      <c r="L51" s="11" t="s">
        <v>25</v>
      </c>
      <c r="M51" s="8" t="s">
        <v>357</v>
      </c>
      <c r="N51" s="12" t="s">
        <v>358</v>
      </c>
      <c r="O51" s="10" t="e" vm="1">
        <f ca="1">_xlfn.IMAGE("https://inahermex.com/wp-content/uploads/2022/08/MT2-1.png")</f>
        <v>#VALUE!</v>
      </c>
    </row>
    <row r="52" spans="1:15" ht="90" x14ac:dyDescent="0.2">
      <c r="A52" s="8" t="s">
        <v>52</v>
      </c>
      <c r="B52" s="9" t="s">
        <v>43</v>
      </c>
      <c r="C52" s="8" t="s">
        <v>30</v>
      </c>
      <c r="D52" s="8" t="s">
        <v>18</v>
      </c>
      <c r="E52" s="8" t="s">
        <v>19</v>
      </c>
      <c r="F52" s="10" t="s">
        <v>45</v>
      </c>
      <c r="G52" s="10" t="s">
        <v>53</v>
      </c>
      <c r="H52" s="10" t="s">
        <v>22</v>
      </c>
      <c r="I52" s="11" t="s">
        <v>54</v>
      </c>
      <c r="J52" s="11" t="s">
        <v>55</v>
      </c>
      <c r="K52" s="11" t="s">
        <v>25</v>
      </c>
      <c r="L52" s="11" t="s">
        <v>25</v>
      </c>
      <c r="M52" s="8" t="s">
        <v>56</v>
      </c>
      <c r="N52" s="12" t="s">
        <v>57</v>
      </c>
      <c r="O52" s="10" t="e" vm="1">
        <f ca="1">_xlfn.IMAGE("https://inahermex.com/wp-content/uploads/2022/08/MT2.png")</f>
        <v>#VALUE!</v>
      </c>
    </row>
    <row r="53" spans="1:15" ht="90" x14ac:dyDescent="0.2">
      <c r="A53" s="8" t="s">
        <v>384</v>
      </c>
      <c r="B53" s="9" t="s">
        <v>360</v>
      </c>
      <c r="C53" s="8" t="s">
        <v>527</v>
      </c>
      <c r="D53" s="8" t="s">
        <v>142</v>
      </c>
      <c r="E53" s="8" t="s">
        <v>156</v>
      </c>
      <c r="F53" s="10" t="s">
        <v>385</v>
      </c>
      <c r="G53" s="10" t="s">
        <v>202</v>
      </c>
      <c r="H53" s="10" t="s">
        <v>22</v>
      </c>
      <c r="I53" s="11" t="s">
        <v>372</v>
      </c>
      <c r="J53" s="11" t="s">
        <v>386</v>
      </c>
      <c r="K53" s="11" t="s">
        <v>25</v>
      </c>
      <c r="L53" s="11" t="s">
        <v>25</v>
      </c>
      <c r="M53" s="8" t="s">
        <v>387</v>
      </c>
      <c r="N53" s="12" t="s">
        <v>388</v>
      </c>
      <c r="O53" s="10" t="e" vm="1">
        <f ca="1">_xlfn.IMAGE("https://inahermex.com/wp-content/uploads/2022/08/MT-3-1030x1030.png")</f>
        <v>#VALUE!</v>
      </c>
    </row>
    <row r="54" spans="1:15" ht="90" x14ac:dyDescent="0.2">
      <c r="A54" s="8" t="s">
        <v>402</v>
      </c>
      <c r="B54" s="9" t="s">
        <v>360</v>
      </c>
      <c r="C54" s="8" t="s">
        <v>44</v>
      </c>
      <c r="D54" s="8" t="s">
        <v>142</v>
      </c>
      <c r="E54" s="8" t="s">
        <v>156</v>
      </c>
      <c r="F54" s="10" t="s">
        <v>385</v>
      </c>
      <c r="G54" s="10" t="s">
        <v>202</v>
      </c>
      <c r="H54" s="10" t="s">
        <v>22</v>
      </c>
      <c r="I54" s="11" t="s">
        <v>372</v>
      </c>
      <c r="J54" s="11" t="s">
        <v>73</v>
      </c>
      <c r="K54" s="11" t="s">
        <v>25</v>
      </c>
      <c r="L54" s="11" t="s">
        <v>25</v>
      </c>
      <c r="M54" s="8" t="s">
        <v>403</v>
      </c>
      <c r="N54" s="12" t="s">
        <v>404</v>
      </c>
      <c r="O54" s="10" t="e" vm="1">
        <f ca="1">_xlfn.IMAGE("https://inahermex.com/wp-content/uploads/2025/02/MT-3-1030x1030.png")</f>
        <v>#VALUE!</v>
      </c>
    </row>
    <row r="55" spans="1:15" ht="90" x14ac:dyDescent="0.2">
      <c r="A55" s="8" t="s">
        <v>192</v>
      </c>
      <c r="B55" s="9" t="s">
        <v>140</v>
      </c>
      <c r="C55" s="8" t="s">
        <v>526</v>
      </c>
      <c r="D55" s="8" t="s">
        <v>155</v>
      </c>
      <c r="E55" s="8" t="s">
        <v>166</v>
      </c>
      <c r="F55" s="13" t="s">
        <v>528</v>
      </c>
      <c r="G55" s="10" t="s">
        <v>193</v>
      </c>
      <c r="H55" s="10" t="s">
        <v>22</v>
      </c>
      <c r="I55" s="11" t="s">
        <v>194</v>
      </c>
      <c r="J55" s="11" t="s">
        <v>195</v>
      </c>
      <c r="K55" s="11" t="s">
        <v>38</v>
      </c>
      <c r="L55" s="11" t="s">
        <v>38</v>
      </c>
      <c r="M55" s="8" t="s">
        <v>196</v>
      </c>
      <c r="N55" s="12" t="s">
        <v>197</v>
      </c>
      <c r="O55" s="10" t="e" vm="1">
        <f ca="1">_xlfn.IMAGE("https://inahermex.com/wp-content/uploads/2022/08/MTA.png")</f>
        <v>#VALUE!</v>
      </c>
    </row>
    <row r="56" spans="1:15" ht="90" x14ac:dyDescent="0.2">
      <c r="A56" s="8" t="s">
        <v>442</v>
      </c>
      <c r="B56" s="9" t="s">
        <v>16</v>
      </c>
      <c r="C56" s="8" t="s">
        <v>345</v>
      </c>
      <c r="D56" s="8" t="s">
        <v>59</v>
      </c>
      <c r="E56" s="8" t="s">
        <v>60</v>
      </c>
      <c r="F56" s="10" t="s">
        <v>45</v>
      </c>
      <c r="G56" s="10" t="s">
        <v>61</v>
      </c>
      <c r="H56" s="10" t="s">
        <v>22</v>
      </c>
      <c r="I56" s="11" t="s">
        <v>62</v>
      </c>
      <c r="J56" s="11" t="s">
        <v>443</v>
      </c>
      <c r="K56" s="11" t="s">
        <v>38</v>
      </c>
      <c r="L56" s="11" t="s">
        <v>38</v>
      </c>
      <c r="M56" s="8" t="s">
        <v>444</v>
      </c>
      <c r="N56" s="12" t="s">
        <v>445</v>
      </c>
      <c r="O56" s="10" t="e" vm="1">
        <f ca="1">_xlfn.IMAGE("https://inahermex.com/wp-content/uploads/2022/12/MTL-2-1030x1030.png")</f>
        <v>#VALUE!</v>
      </c>
    </row>
    <row r="57" spans="1:15" ht="90" x14ac:dyDescent="0.2">
      <c r="A57" s="8" t="s">
        <v>58</v>
      </c>
      <c r="B57" s="9" t="s">
        <v>16</v>
      </c>
      <c r="C57" s="8" t="s">
        <v>30</v>
      </c>
      <c r="D57" s="8" t="s">
        <v>59</v>
      </c>
      <c r="E57" s="8" t="s">
        <v>60</v>
      </c>
      <c r="F57" s="10" t="s">
        <v>45</v>
      </c>
      <c r="G57" s="10" t="s">
        <v>61</v>
      </c>
      <c r="H57" s="10" t="s">
        <v>22</v>
      </c>
      <c r="I57" s="11" t="s">
        <v>62</v>
      </c>
      <c r="J57" s="11" t="s">
        <v>63</v>
      </c>
      <c r="K57" s="11" t="s">
        <v>38</v>
      </c>
      <c r="L57" s="11" t="s">
        <v>38</v>
      </c>
      <c r="M57" s="8" t="s">
        <v>64</v>
      </c>
      <c r="N57" s="12" t="s">
        <v>65</v>
      </c>
      <c r="O57" s="10" t="e" vm="1">
        <f ca="1">_xlfn.IMAGE("https://inahermex.com/wp-content/uploads/2022/12/MTL-2-CON-PAD-1030x1030.png")</f>
        <v>#VALUE!</v>
      </c>
    </row>
    <row r="58" spans="1:15" ht="75" x14ac:dyDescent="0.2">
      <c r="A58" s="8" t="s">
        <v>182</v>
      </c>
      <c r="B58" s="9" t="s">
        <v>16</v>
      </c>
      <c r="C58" s="8" t="s">
        <v>17</v>
      </c>
      <c r="D58" s="8" t="s">
        <v>174</v>
      </c>
      <c r="E58" s="8" t="s">
        <v>175</v>
      </c>
      <c r="F58" s="10" t="s">
        <v>45</v>
      </c>
      <c r="G58" s="10" t="s">
        <v>176</v>
      </c>
      <c r="H58" s="10" t="s">
        <v>177</v>
      </c>
      <c r="I58" s="11" t="s">
        <v>178</v>
      </c>
      <c r="J58" s="11" t="s">
        <v>179</v>
      </c>
      <c r="K58" s="11" t="s">
        <v>38</v>
      </c>
      <c r="L58" s="11" t="s">
        <v>38</v>
      </c>
      <c r="M58" s="8" t="s">
        <v>183</v>
      </c>
      <c r="N58" s="12" t="s">
        <v>184</v>
      </c>
      <c r="O58" s="10" t="e" vm="1">
        <f ca="1">_xlfn.IMAGE("https://inahermex.com/wp-content/uploads/2022/08/MTR2-1.png")</f>
        <v>#VALUE!</v>
      </c>
    </row>
    <row r="59" spans="1:15" ht="75" x14ac:dyDescent="0.2">
      <c r="A59" s="8" t="s">
        <v>173</v>
      </c>
      <c r="B59" s="9" t="s">
        <v>16</v>
      </c>
      <c r="C59" s="8" t="s">
        <v>199</v>
      </c>
      <c r="D59" s="8" t="s">
        <v>174</v>
      </c>
      <c r="E59" s="8" t="s">
        <v>175</v>
      </c>
      <c r="F59" s="10" t="s">
        <v>45</v>
      </c>
      <c r="G59" s="10" t="s">
        <v>176</v>
      </c>
      <c r="H59" s="10" t="s">
        <v>177</v>
      </c>
      <c r="I59" s="11" t="s">
        <v>178</v>
      </c>
      <c r="J59" s="11" t="s">
        <v>179</v>
      </c>
      <c r="K59" s="11" t="s">
        <v>38</v>
      </c>
      <c r="L59" s="11" t="s">
        <v>38</v>
      </c>
      <c r="M59" s="8" t="s">
        <v>180</v>
      </c>
      <c r="N59" s="12" t="s">
        <v>181</v>
      </c>
      <c r="O59" s="10" t="e" vm="1">
        <f ca="1">_xlfn.IMAGE("https://inahermex.com/wp-content/uploads/2022/12/MTR2-CON-PAD.png")</f>
        <v>#VALUE!</v>
      </c>
    </row>
    <row r="60" spans="1:15" ht="90" x14ac:dyDescent="0.2">
      <c r="A60" s="8" t="s">
        <v>411</v>
      </c>
      <c r="B60" s="9" t="s">
        <v>412</v>
      </c>
      <c r="C60" s="8" t="s">
        <v>524</v>
      </c>
      <c r="D60" s="8" t="s">
        <v>39</v>
      </c>
      <c r="E60" s="8" t="s">
        <v>83</v>
      </c>
      <c r="F60" s="10" t="s">
        <v>413</v>
      </c>
      <c r="G60" s="10" t="s">
        <v>129</v>
      </c>
      <c r="H60" s="14" t="s">
        <v>159</v>
      </c>
      <c r="I60" s="11" t="s">
        <v>414</v>
      </c>
      <c r="J60" s="11" t="s">
        <v>415</v>
      </c>
      <c r="K60" s="11" t="s">
        <v>38</v>
      </c>
      <c r="L60" s="13" t="s">
        <v>533</v>
      </c>
      <c r="M60" s="8" t="s">
        <v>416</v>
      </c>
      <c r="N60" s="12" t="s">
        <v>417</v>
      </c>
      <c r="O60" s="10" t="e" vm="1">
        <f ca="1">_xlfn.IMAGE("https://inahermex.com/wp-content/uploads/2022/08/MV-700-1-1030x1030.png")</f>
        <v>#VALUE!</v>
      </c>
    </row>
    <row r="61" spans="1:15" ht="60" x14ac:dyDescent="0.2">
      <c r="A61" s="8" t="s">
        <v>262</v>
      </c>
      <c r="B61" s="9" t="s">
        <v>247</v>
      </c>
      <c r="C61" s="8" t="s">
        <v>263</v>
      </c>
      <c r="D61" s="8" t="s">
        <v>155</v>
      </c>
      <c r="E61" s="8" t="s">
        <v>166</v>
      </c>
      <c r="F61" s="10" t="s">
        <v>45</v>
      </c>
      <c r="G61" s="10" t="s">
        <v>85</v>
      </c>
      <c r="H61" s="10" t="s">
        <v>159</v>
      </c>
      <c r="I61" s="11" t="s">
        <v>264</v>
      </c>
      <c r="J61" s="11" t="s">
        <v>39</v>
      </c>
      <c r="K61" s="11" t="s">
        <v>25</v>
      </c>
      <c r="L61" s="11" t="s">
        <v>25</v>
      </c>
      <c r="M61" s="8" t="s">
        <v>265</v>
      </c>
      <c r="N61" s="12" t="s">
        <v>266</v>
      </c>
      <c r="O61" s="10" t="e" vm="1">
        <f ca="1">_xlfn.IMAGE("https://inahermex.com/wp-content/uploads/2023/03/NR2-1030x1030.png")</f>
        <v>#VALUE!</v>
      </c>
    </row>
    <row r="62" spans="1:15" ht="75" x14ac:dyDescent="0.2">
      <c r="A62" s="8" t="s">
        <v>267</v>
      </c>
      <c r="B62" s="9" t="s">
        <v>254</v>
      </c>
      <c r="C62" s="8" t="s">
        <v>263</v>
      </c>
      <c r="D62" s="8" t="s">
        <v>155</v>
      </c>
      <c r="E62" s="8" t="s">
        <v>166</v>
      </c>
      <c r="F62" s="10" t="s">
        <v>167</v>
      </c>
      <c r="G62" s="10" t="s">
        <v>98</v>
      </c>
      <c r="H62" s="10" t="s">
        <v>159</v>
      </c>
      <c r="I62" s="11" t="s">
        <v>268</v>
      </c>
      <c r="J62" s="11" t="s">
        <v>250</v>
      </c>
      <c r="K62" s="11" t="s">
        <v>25</v>
      </c>
      <c r="L62" s="11" t="s">
        <v>25</v>
      </c>
      <c r="M62" s="8" t="s">
        <v>269</v>
      </c>
      <c r="N62" s="12" t="s">
        <v>270</v>
      </c>
      <c r="O62" s="10" t="e" vm="1">
        <f ca="1">_xlfn.IMAGE("https://inahermex.com/wp-content/uploads/2023/05/NR3-1030x1030.png")</f>
        <v>#VALUE!</v>
      </c>
    </row>
    <row r="63" spans="1:15" ht="45" x14ac:dyDescent="0.2">
      <c r="A63" s="8" t="s">
        <v>259</v>
      </c>
      <c r="B63" s="9" t="s">
        <v>254</v>
      </c>
      <c r="C63" s="8" t="s">
        <v>255</v>
      </c>
      <c r="D63" s="8" t="s">
        <v>155</v>
      </c>
      <c r="E63" s="8" t="s">
        <v>166</v>
      </c>
      <c r="F63" s="10" t="s">
        <v>167</v>
      </c>
      <c r="G63" s="10" t="s">
        <v>98</v>
      </c>
      <c r="H63" s="10" t="s">
        <v>159</v>
      </c>
      <c r="I63" s="11" t="s">
        <v>256</v>
      </c>
      <c r="J63" s="11" t="s">
        <v>250</v>
      </c>
      <c r="K63" s="11" t="s">
        <v>25</v>
      </c>
      <c r="L63" s="11" t="s">
        <v>25</v>
      </c>
      <c r="M63" s="8" t="s">
        <v>260</v>
      </c>
      <c r="N63" s="12" t="s">
        <v>261</v>
      </c>
      <c r="O63" s="10" t="e" vm="1">
        <f ca="1">_xlfn.IMAGE("https://inahermex.com/wp-content/uploads/2023/05/nrt-1.png")</f>
        <v>#VALUE!</v>
      </c>
    </row>
    <row r="64" spans="1:15" ht="75" x14ac:dyDescent="0.2">
      <c r="A64" s="8" t="s">
        <v>66</v>
      </c>
      <c r="B64" s="9" t="s">
        <v>67</v>
      </c>
      <c r="C64" s="8" t="s">
        <v>44</v>
      </c>
      <c r="D64" s="8" t="s">
        <v>39</v>
      </c>
      <c r="E64" s="8" t="s">
        <v>68</v>
      </c>
      <c r="F64" s="10" t="s">
        <v>69</v>
      </c>
      <c r="G64" s="10" t="s">
        <v>70</v>
      </c>
      <c r="H64" s="14" t="s">
        <v>531</v>
      </c>
      <c r="I64" s="11" t="s">
        <v>72</v>
      </c>
      <c r="J64" s="11" t="s">
        <v>73</v>
      </c>
      <c r="K64" s="11" t="s">
        <v>25</v>
      </c>
      <c r="L64" s="11" t="s">
        <v>49</v>
      </c>
      <c r="M64" s="8" t="s">
        <v>74</v>
      </c>
      <c r="N64" s="12" t="s">
        <v>75</v>
      </c>
      <c r="O64" s="10" t="e" vm="1">
        <f ca="1">_xlfn.IMAGE("https://inahermex.com/wp-content/uploads/2022/08/NS1.png")</f>
        <v>#VALUE!</v>
      </c>
    </row>
    <row r="65" spans="1:15" ht="75" x14ac:dyDescent="0.2">
      <c r="A65" s="8" t="s">
        <v>76</v>
      </c>
      <c r="B65" s="9" t="s">
        <v>29</v>
      </c>
      <c r="C65" s="8" t="s">
        <v>44</v>
      </c>
      <c r="D65" s="8" t="s">
        <v>39</v>
      </c>
      <c r="E65" s="8" t="s">
        <v>60</v>
      </c>
      <c r="F65" s="10" t="s">
        <v>77</v>
      </c>
      <c r="G65" s="10" t="s">
        <v>78</v>
      </c>
      <c r="H65" s="10" t="s">
        <v>71</v>
      </c>
      <c r="I65" s="11" t="s">
        <v>79</v>
      </c>
      <c r="J65" s="11" t="s">
        <v>73</v>
      </c>
      <c r="K65" s="11" t="s">
        <v>25</v>
      </c>
      <c r="L65" s="11" t="s">
        <v>49</v>
      </c>
      <c r="M65" s="8" t="s">
        <v>80</v>
      </c>
      <c r="N65" s="12" t="s">
        <v>81</v>
      </c>
      <c r="O65" s="10" t="e" vm="1">
        <f ca="1">_xlfn.IMAGE("https://inahermex.com/wp-content/uploads/2022/12/NS10.png")</f>
        <v>#VALUE!</v>
      </c>
    </row>
    <row r="66" spans="1:15" ht="75" x14ac:dyDescent="0.2">
      <c r="A66" s="8" t="s">
        <v>82</v>
      </c>
      <c r="B66" s="9" t="s">
        <v>43</v>
      </c>
      <c r="C66" s="8" t="s">
        <v>44</v>
      </c>
      <c r="D66" s="8" t="s">
        <v>39</v>
      </c>
      <c r="E66" s="8" t="s">
        <v>83</v>
      </c>
      <c r="F66" s="10" t="s">
        <v>84</v>
      </c>
      <c r="G66" s="10" t="s">
        <v>85</v>
      </c>
      <c r="H66" s="10" t="s">
        <v>86</v>
      </c>
      <c r="I66" s="11" t="s">
        <v>87</v>
      </c>
      <c r="J66" s="11" t="s">
        <v>73</v>
      </c>
      <c r="K66" s="11" t="s">
        <v>25</v>
      </c>
      <c r="L66" s="11" t="s">
        <v>49</v>
      </c>
      <c r="M66" s="8" t="s">
        <v>88</v>
      </c>
      <c r="N66" s="12" t="s">
        <v>89</v>
      </c>
      <c r="O66" s="10" t="e" vm="1">
        <f ca="1">_xlfn.IMAGE("https://inahermex.com/wp-content/uploads/2023/01/NS-11-OF.png")</f>
        <v>#VALUE!</v>
      </c>
    </row>
    <row r="67" spans="1:15" ht="90" x14ac:dyDescent="0.2">
      <c r="A67" s="8" t="s">
        <v>90</v>
      </c>
      <c r="B67" s="9" t="s">
        <v>29</v>
      </c>
      <c r="C67" s="8" t="s">
        <v>44</v>
      </c>
      <c r="D67" s="8" t="s">
        <v>39</v>
      </c>
      <c r="E67" s="8" t="s">
        <v>91</v>
      </c>
      <c r="F67" s="10" t="s">
        <v>92</v>
      </c>
      <c r="G67" s="10" t="s">
        <v>78</v>
      </c>
      <c r="H67" s="10" t="s">
        <v>93</v>
      </c>
      <c r="I67" s="11" t="s">
        <v>94</v>
      </c>
      <c r="J67" s="11" t="s">
        <v>44</v>
      </c>
      <c r="K67" s="11" t="s">
        <v>25</v>
      </c>
      <c r="L67" s="11" t="s">
        <v>49</v>
      </c>
      <c r="M67" s="8" t="s">
        <v>95</v>
      </c>
      <c r="N67" s="12" t="s">
        <v>96</v>
      </c>
      <c r="O67" s="10" t="e" vm="1">
        <f ca="1">_xlfn.IMAGE("https://inahermex.com/wp-content/uploads/2025/03/NS-12-2.png")</f>
        <v>#VALUE!</v>
      </c>
    </row>
    <row r="68" spans="1:15" ht="90" x14ac:dyDescent="0.2">
      <c r="A68" s="8" t="s">
        <v>97</v>
      </c>
      <c r="B68" s="9" t="s">
        <v>29</v>
      </c>
      <c r="C68" s="8" t="s">
        <v>44</v>
      </c>
      <c r="D68" s="8" t="s">
        <v>39</v>
      </c>
      <c r="E68" s="8" t="s">
        <v>91</v>
      </c>
      <c r="F68" s="10" t="s">
        <v>45</v>
      </c>
      <c r="G68" s="10" t="s">
        <v>98</v>
      </c>
      <c r="H68" s="10" t="s">
        <v>93</v>
      </c>
      <c r="I68" s="11" t="s">
        <v>94</v>
      </c>
      <c r="J68" s="11" t="s">
        <v>99</v>
      </c>
      <c r="K68" s="11" t="s">
        <v>25</v>
      </c>
      <c r="L68" s="11" t="s">
        <v>49</v>
      </c>
      <c r="M68" s="8" t="s">
        <v>100</v>
      </c>
      <c r="N68" s="12" t="s">
        <v>101</v>
      </c>
      <c r="O68" s="10" t="e" vm="1">
        <f ca="1">_xlfn.IMAGE("https://inahermex.com/wp-content/uploads/2026/02/NS13.png")</f>
        <v>#VALUE!</v>
      </c>
    </row>
    <row r="69" spans="1:15" ht="90" x14ac:dyDescent="0.2">
      <c r="A69" s="8" t="s">
        <v>102</v>
      </c>
      <c r="B69" s="9" t="s">
        <v>29</v>
      </c>
      <c r="C69" s="8" t="s">
        <v>44</v>
      </c>
      <c r="D69" s="8" t="s">
        <v>39</v>
      </c>
      <c r="E69" s="8" t="s">
        <v>60</v>
      </c>
      <c r="F69" s="10" t="s">
        <v>103</v>
      </c>
      <c r="G69" s="10" t="s">
        <v>104</v>
      </c>
      <c r="H69" s="10" t="s">
        <v>71</v>
      </c>
      <c r="I69" s="11" t="s">
        <v>94</v>
      </c>
      <c r="J69" s="11" t="s">
        <v>73</v>
      </c>
      <c r="K69" s="11" t="s">
        <v>25</v>
      </c>
      <c r="L69" s="11" t="s">
        <v>49</v>
      </c>
      <c r="M69" s="8" t="s">
        <v>105</v>
      </c>
      <c r="N69" s="12" t="s">
        <v>106</v>
      </c>
      <c r="O69" s="10" t="e" vm="1">
        <f ca="1">_xlfn.IMAGE("https://inahermex.com/wp-content/uploads/2022/08/NS2.png")</f>
        <v>#VALUE!</v>
      </c>
    </row>
    <row r="70" spans="1:15" ht="75" x14ac:dyDescent="0.2">
      <c r="A70" s="8" t="s">
        <v>107</v>
      </c>
      <c r="B70" s="9" t="s">
        <v>16</v>
      </c>
      <c r="C70" s="8" t="s">
        <v>44</v>
      </c>
      <c r="D70" s="8" t="s">
        <v>39</v>
      </c>
      <c r="E70" s="8" t="s">
        <v>108</v>
      </c>
      <c r="F70" s="10" t="s">
        <v>84</v>
      </c>
      <c r="G70" s="10" t="s">
        <v>70</v>
      </c>
      <c r="H70" s="10" t="s">
        <v>86</v>
      </c>
      <c r="I70" s="11" t="s">
        <v>87</v>
      </c>
      <c r="J70" s="11" t="s">
        <v>73</v>
      </c>
      <c r="K70" s="11" t="s">
        <v>25</v>
      </c>
      <c r="L70" s="11" t="s">
        <v>49</v>
      </c>
      <c r="M70" s="8" t="s">
        <v>109</v>
      </c>
      <c r="N70" s="12" t="s">
        <v>110</v>
      </c>
      <c r="O70" s="10" t="e" vm="1">
        <f ca="1">_xlfn.IMAGE("https://inahermex.com/wp-content/uploads/2022/08/NS-3-5.png")</f>
        <v>#VALUE!</v>
      </c>
    </row>
    <row r="71" spans="1:15" ht="75" x14ac:dyDescent="0.2">
      <c r="A71" s="8" t="s">
        <v>111</v>
      </c>
      <c r="B71" s="9" t="s">
        <v>16</v>
      </c>
      <c r="C71" s="8" t="s">
        <v>44</v>
      </c>
      <c r="D71" s="8" t="s">
        <v>39</v>
      </c>
      <c r="E71" s="8" t="s">
        <v>108</v>
      </c>
      <c r="F71" s="10" t="s">
        <v>84</v>
      </c>
      <c r="G71" s="10" t="s">
        <v>112</v>
      </c>
      <c r="H71" s="10" t="s">
        <v>86</v>
      </c>
      <c r="I71" s="11" t="s">
        <v>87</v>
      </c>
      <c r="J71" s="11" t="s">
        <v>73</v>
      </c>
      <c r="K71" s="11" t="s">
        <v>25</v>
      </c>
      <c r="L71" s="11" t="s">
        <v>49</v>
      </c>
      <c r="M71" s="8" t="s">
        <v>113</v>
      </c>
      <c r="N71" s="12" t="s">
        <v>114</v>
      </c>
      <c r="O71" s="10" t="e" vm="1">
        <f ca="1">_xlfn.IMAGE("https://inahermex.com/wp-content/uploads/2022/08/NS5.png")</f>
        <v>#VALUE!</v>
      </c>
    </row>
    <row r="72" spans="1:15" ht="75" x14ac:dyDescent="0.2">
      <c r="A72" s="8" t="s">
        <v>115</v>
      </c>
      <c r="B72" s="9" t="s">
        <v>16</v>
      </c>
      <c r="C72" s="8" t="s">
        <v>44</v>
      </c>
      <c r="D72" s="8" t="s">
        <v>39</v>
      </c>
      <c r="E72" s="8" t="s">
        <v>108</v>
      </c>
      <c r="F72" s="10" t="s">
        <v>84</v>
      </c>
      <c r="G72" s="10" t="s">
        <v>112</v>
      </c>
      <c r="H72" s="10" t="s">
        <v>86</v>
      </c>
      <c r="I72" s="11" t="s">
        <v>87</v>
      </c>
      <c r="J72" s="11" t="s">
        <v>73</v>
      </c>
      <c r="K72" s="11" t="s">
        <v>25</v>
      </c>
      <c r="L72" s="11" t="s">
        <v>49</v>
      </c>
      <c r="M72" s="8" t="s">
        <v>116</v>
      </c>
      <c r="N72" s="12" t="s">
        <v>117</v>
      </c>
      <c r="O72" s="10" t="e" vm="1">
        <f ca="1">_xlfn.IMAGE("https://inahermex.com/wp-content/uploads/2022/08/NS-6-1.png")</f>
        <v>#VALUE!</v>
      </c>
    </row>
    <row r="73" spans="1:15" ht="45" x14ac:dyDescent="0.2">
      <c r="A73" s="8" t="s">
        <v>118</v>
      </c>
      <c r="B73" s="9" t="s">
        <v>119</v>
      </c>
      <c r="C73" s="8" t="s">
        <v>44</v>
      </c>
      <c r="D73" s="8" t="s">
        <v>39</v>
      </c>
      <c r="E73" s="8" t="s">
        <v>120</v>
      </c>
      <c r="F73" s="10" t="s">
        <v>121</v>
      </c>
      <c r="G73" s="10" t="s">
        <v>122</v>
      </c>
      <c r="H73" s="10" t="s">
        <v>123</v>
      </c>
      <c r="I73" s="11" t="s">
        <v>124</v>
      </c>
      <c r="J73" s="11" t="s">
        <v>73</v>
      </c>
      <c r="K73" s="11" t="s">
        <v>25</v>
      </c>
      <c r="L73" s="11" t="s">
        <v>49</v>
      </c>
      <c r="M73" s="8" t="s">
        <v>125</v>
      </c>
      <c r="N73" s="12" t="s">
        <v>126</v>
      </c>
      <c r="O73" s="10" t="e" vm="1">
        <f ca="1">_xlfn.IMAGE("https://inahermex.com/wp-content/uploads/2022/08/1-17-1030x1030.png")</f>
        <v>#VALUE!</v>
      </c>
    </row>
    <row r="74" spans="1:15" ht="45" x14ac:dyDescent="0.2">
      <c r="A74" s="8" t="s">
        <v>127</v>
      </c>
      <c r="B74" s="9" t="s">
        <v>67</v>
      </c>
      <c r="C74" s="8" t="s">
        <v>44</v>
      </c>
      <c r="D74" s="8" t="s">
        <v>128</v>
      </c>
      <c r="E74" s="8" t="s">
        <v>39</v>
      </c>
      <c r="F74" s="10" t="s">
        <v>129</v>
      </c>
      <c r="G74" s="10" t="s">
        <v>121</v>
      </c>
      <c r="H74" s="10" t="s">
        <v>130</v>
      </c>
      <c r="I74" s="11" t="s">
        <v>131</v>
      </c>
      <c r="J74" s="11" t="s">
        <v>73</v>
      </c>
      <c r="K74" s="11" t="s">
        <v>132</v>
      </c>
      <c r="L74" s="11" t="s">
        <v>49</v>
      </c>
      <c r="M74" s="8" t="s">
        <v>133</v>
      </c>
      <c r="N74" s="12" t="s">
        <v>134</v>
      </c>
      <c r="O74" s="10" t="e" vm="1">
        <f ca="1">_xlfn.IMAGE("https://inahermex.com/wp-content/uploads/2022/08/NS9.png")</f>
        <v>#VALUE!</v>
      </c>
    </row>
    <row r="75" spans="1:15" ht="90" x14ac:dyDescent="0.2">
      <c r="A75" s="8" t="s">
        <v>215</v>
      </c>
      <c r="B75" s="9" t="s">
        <v>140</v>
      </c>
      <c r="C75" s="8" t="s">
        <v>216</v>
      </c>
      <c r="D75" s="8" t="s">
        <v>200</v>
      </c>
      <c r="E75" s="8" t="s">
        <v>201</v>
      </c>
      <c r="F75" s="10" t="s">
        <v>167</v>
      </c>
      <c r="G75" s="10" t="s">
        <v>202</v>
      </c>
      <c r="H75" s="10" t="s">
        <v>22</v>
      </c>
      <c r="I75" s="11" t="s">
        <v>217</v>
      </c>
      <c r="J75" s="11" t="s">
        <v>218</v>
      </c>
      <c r="K75" s="11" t="s">
        <v>25</v>
      </c>
      <c r="L75" s="13" t="s">
        <v>391</v>
      </c>
      <c r="M75" s="8" t="s">
        <v>219</v>
      </c>
      <c r="N75" s="12" t="s">
        <v>220</v>
      </c>
      <c r="O75" s="10" t="e" vm="1">
        <f ca="1">_xlfn.IMAGE("https://inahermex.com/wp-content/uploads/2026/02/R3-DOS-VISTAS.png")</f>
        <v>#VALUE!</v>
      </c>
    </row>
    <row r="76" spans="1:15" ht="120" x14ac:dyDescent="0.2">
      <c r="A76" s="8" t="s">
        <v>438</v>
      </c>
      <c r="B76" s="9" t="s">
        <v>140</v>
      </c>
      <c r="C76" s="8" t="s">
        <v>186</v>
      </c>
      <c r="D76" s="8" t="s">
        <v>155</v>
      </c>
      <c r="E76" s="8" t="s">
        <v>166</v>
      </c>
      <c r="F76" s="10" t="s">
        <v>167</v>
      </c>
      <c r="G76" s="10" t="s">
        <v>202</v>
      </c>
      <c r="H76" s="10" t="s">
        <v>22</v>
      </c>
      <c r="I76" s="11" t="s">
        <v>439</v>
      </c>
      <c r="J76" s="11" t="s">
        <v>440</v>
      </c>
      <c r="K76" s="11" t="s">
        <v>25</v>
      </c>
      <c r="L76" s="13" t="s">
        <v>391</v>
      </c>
      <c r="M76" s="8" t="s">
        <v>441</v>
      </c>
      <c r="N76" s="12" t="s">
        <v>431</v>
      </c>
      <c r="O76" s="10" t="e" vm="1">
        <f ca="1">_xlfn.IMAGE("https://inahermex.com/wp-content/uploads/2026/02/2-VISTAS-3.png")</f>
        <v>#VALUE!</v>
      </c>
    </row>
    <row r="77" spans="1:15" ht="120" x14ac:dyDescent="0.2">
      <c r="A77" s="8" t="s">
        <v>221</v>
      </c>
      <c r="B77" s="9" t="s">
        <v>140</v>
      </c>
      <c r="C77" s="8" t="s">
        <v>216</v>
      </c>
      <c r="D77" s="8" t="s">
        <v>155</v>
      </c>
      <c r="E77" s="8" t="s">
        <v>222</v>
      </c>
      <c r="F77" s="10" t="s">
        <v>157</v>
      </c>
      <c r="G77" s="10" t="s">
        <v>98</v>
      </c>
      <c r="H77" s="10" t="s">
        <v>159</v>
      </c>
      <c r="I77" s="11" t="s">
        <v>223</v>
      </c>
      <c r="J77" s="11" t="s">
        <v>39</v>
      </c>
      <c r="K77" s="11" t="s">
        <v>25</v>
      </c>
      <c r="L77" s="13" t="s">
        <v>391</v>
      </c>
      <c r="M77" s="8" t="s">
        <v>224</v>
      </c>
      <c r="N77" s="12" t="s">
        <v>225</v>
      </c>
      <c r="O77" s="10" t="e" vm="1">
        <f ca="1">_xlfn.IMAGE("https://inahermex.com/wp-content/uploads/2022/08/R-4-6.png")</f>
        <v>#VALUE!</v>
      </c>
    </row>
    <row r="78" spans="1:15" ht="90" x14ac:dyDescent="0.2">
      <c r="A78" s="8" t="s">
        <v>389</v>
      </c>
      <c r="B78" s="9" t="s">
        <v>140</v>
      </c>
      <c r="C78" s="8" t="s">
        <v>186</v>
      </c>
      <c r="D78" s="8" t="s">
        <v>155</v>
      </c>
      <c r="E78" s="8" t="s">
        <v>166</v>
      </c>
      <c r="F78" s="10" t="s">
        <v>157</v>
      </c>
      <c r="G78" s="10" t="s">
        <v>187</v>
      </c>
      <c r="H78" s="14" t="s">
        <v>22</v>
      </c>
      <c r="I78" s="11" t="s">
        <v>372</v>
      </c>
      <c r="J78" s="11" t="s">
        <v>390</v>
      </c>
      <c r="K78" s="11" t="s">
        <v>25</v>
      </c>
      <c r="L78" s="13" t="s">
        <v>391</v>
      </c>
      <c r="M78" s="8" t="s">
        <v>392</v>
      </c>
      <c r="N78" s="12" t="s">
        <v>393</v>
      </c>
      <c r="O78" s="10" t="e" vm="1">
        <f ca="1">_xlfn.IMAGE("https://inahermex.com/wp-content/uploads/2022/08/r4-fijo.png")</f>
        <v>#VALUE!</v>
      </c>
    </row>
    <row r="79" spans="1:15" ht="90" x14ac:dyDescent="0.2">
      <c r="A79" s="8" t="s">
        <v>135</v>
      </c>
      <c r="B79" s="9" t="s">
        <v>29</v>
      </c>
      <c r="C79" s="8" t="s">
        <v>44</v>
      </c>
      <c r="D79" s="8" t="s">
        <v>39</v>
      </c>
      <c r="E79" s="8" t="s">
        <v>91</v>
      </c>
      <c r="F79" s="10" t="s">
        <v>45</v>
      </c>
      <c r="G79" s="10" t="s">
        <v>98</v>
      </c>
      <c r="H79" s="10" t="s">
        <v>93</v>
      </c>
      <c r="I79" s="11" t="s">
        <v>136</v>
      </c>
      <c r="J79" s="11" t="s">
        <v>73</v>
      </c>
      <c r="K79" s="11" t="s">
        <v>25</v>
      </c>
      <c r="L79" s="11" t="s">
        <v>49</v>
      </c>
      <c r="M79" s="8" t="s">
        <v>137</v>
      </c>
      <c r="N79" s="12" t="s">
        <v>138</v>
      </c>
      <c r="O79" s="10" t="e" vm="1">
        <f ca="1">_xlfn.IMAGE("https://inahermex.com/wp-content/uploads/2022/08/sport-2.png")</f>
        <v>#VALUE!</v>
      </c>
    </row>
    <row r="80" spans="1:15" ht="120" x14ac:dyDescent="0.2">
      <c r="A80" s="8" t="s">
        <v>331</v>
      </c>
      <c r="B80" s="9" t="s">
        <v>254</v>
      </c>
      <c r="C80" s="8" t="s">
        <v>306</v>
      </c>
      <c r="D80" s="8" t="s">
        <v>174</v>
      </c>
      <c r="E80" s="8" t="s">
        <v>332</v>
      </c>
      <c r="F80" s="10" t="s">
        <v>333</v>
      </c>
      <c r="G80" s="10" t="s">
        <v>70</v>
      </c>
      <c r="H80" s="10" t="s">
        <v>22</v>
      </c>
      <c r="I80" s="11" t="s">
        <v>334</v>
      </c>
      <c r="J80" s="11" t="s">
        <v>284</v>
      </c>
      <c r="K80" s="11" t="s">
        <v>25</v>
      </c>
      <c r="L80" s="11" t="s">
        <v>25</v>
      </c>
      <c r="M80" s="8" t="s">
        <v>335</v>
      </c>
      <c r="N80" s="12" t="s">
        <v>336</v>
      </c>
      <c r="O80" s="10" t="e" vm="1">
        <f ca="1">_xlfn.IMAGE("https://inahermex.com/wp-content/uploads/2025/03/TPE-1-1-1030x1030.png")</f>
        <v>#VALUE!</v>
      </c>
    </row>
    <row r="81" spans="1:15" ht="90" x14ac:dyDescent="0.2">
      <c r="A81" s="8" t="s">
        <v>337</v>
      </c>
      <c r="B81" s="8" t="s">
        <v>282</v>
      </c>
      <c r="C81" s="8" t="s">
        <v>306</v>
      </c>
      <c r="D81" s="8" t="s">
        <v>142</v>
      </c>
      <c r="E81" s="8" t="s">
        <v>156</v>
      </c>
      <c r="F81" s="10" t="s">
        <v>167</v>
      </c>
      <c r="G81" s="10" t="s">
        <v>158</v>
      </c>
      <c r="H81" s="14" t="s">
        <v>159</v>
      </c>
      <c r="I81" s="11" t="s">
        <v>338</v>
      </c>
      <c r="J81" s="11" t="s">
        <v>278</v>
      </c>
      <c r="K81" s="11" t="s">
        <v>25</v>
      </c>
      <c r="L81" s="11" t="s">
        <v>25</v>
      </c>
      <c r="M81" s="8" t="s">
        <v>339</v>
      </c>
      <c r="N81" s="12" t="s">
        <v>340</v>
      </c>
      <c r="O81" s="10" t="e" vm="1">
        <f ca="1">_xlfn.IMAGE("https://inahermex.com/wp-content/uploads/2022/08/TPE-4-1030x1030.png")</f>
        <v>#VALUE!</v>
      </c>
    </row>
    <row r="82" spans="1:15" ht="90" x14ac:dyDescent="0.2">
      <c r="A82" s="8" t="s">
        <v>341</v>
      </c>
      <c r="B82" s="8" t="s">
        <v>523</v>
      </c>
      <c r="C82" s="8" t="s">
        <v>306</v>
      </c>
      <c r="D82" s="8" t="s">
        <v>142</v>
      </c>
      <c r="E82" s="8" t="s">
        <v>156</v>
      </c>
      <c r="F82" s="10" t="s">
        <v>157</v>
      </c>
      <c r="G82" s="10" t="s">
        <v>158</v>
      </c>
      <c r="H82" s="14" t="s">
        <v>159</v>
      </c>
      <c r="I82" s="11" t="s">
        <v>338</v>
      </c>
      <c r="J82" s="11" t="s">
        <v>278</v>
      </c>
      <c r="K82" s="11" t="s">
        <v>25</v>
      </c>
      <c r="L82" s="11" t="s">
        <v>25</v>
      </c>
      <c r="M82" s="8" t="s">
        <v>342</v>
      </c>
      <c r="N82" s="12" t="s">
        <v>343</v>
      </c>
      <c r="O82" s="10" t="e" vm="1">
        <f ca="1">_xlfn.IMAGE("https://inahermex.com/wp-content/uploads/2022/09/TPE4.png")</f>
        <v>#VALUE!</v>
      </c>
    </row>
    <row r="83" spans="1:15" ht="135" x14ac:dyDescent="0.2">
      <c r="A83" s="8" t="s">
        <v>246</v>
      </c>
      <c r="B83" s="9" t="s">
        <v>247</v>
      </c>
      <c r="C83" s="8" t="s">
        <v>263</v>
      </c>
      <c r="D83" s="8" t="s">
        <v>200</v>
      </c>
      <c r="E83" s="8" t="s">
        <v>201</v>
      </c>
      <c r="F83" s="10" t="s">
        <v>45</v>
      </c>
      <c r="G83" s="10" t="s">
        <v>248</v>
      </c>
      <c r="H83" s="10" t="s">
        <v>159</v>
      </c>
      <c r="I83" s="11" t="s">
        <v>249</v>
      </c>
      <c r="J83" s="11" t="s">
        <v>250</v>
      </c>
      <c r="K83" s="11" t="s">
        <v>25</v>
      </c>
      <c r="L83" s="11" t="s">
        <v>25</v>
      </c>
      <c r="M83" s="8" t="s">
        <v>251</v>
      </c>
      <c r="N83" s="12" t="s">
        <v>252</v>
      </c>
      <c r="O83" s="10" t="e" vm="1">
        <f ca="1">_xlfn.IMAGE("https://inahermex.com/wp-content/uploads/2026/02/1-15.png")</f>
        <v>#VALUE!</v>
      </c>
    </row>
    <row r="84" spans="1:15" ht="75" x14ac:dyDescent="0.2">
      <c r="A84" s="8" t="s">
        <v>271</v>
      </c>
      <c r="B84" s="9" t="s">
        <v>254</v>
      </c>
      <c r="C84" s="8" t="s">
        <v>263</v>
      </c>
      <c r="D84" s="8" t="s">
        <v>155</v>
      </c>
      <c r="E84" s="8" t="s">
        <v>166</v>
      </c>
      <c r="F84" s="10" t="s">
        <v>167</v>
      </c>
      <c r="G84" s="10" t="s">
        <v>98</v>
      </c>
      <c r="H84" s="10" t="s">
        <v>22</v>
      </c>
      <c r="I84" s="11" t="s">
        <v>268</v>
      </c>
      <c r="J84" s="11" t="s">
        <v>250</v>
      </c>
      <c r="K84" s="11" t="s">
        <v>25</v>
      </c>
      <c r="L84" s="11" t="s">
        <v>25</v>
      </c>
      <c r="M84" s="8" t="s">
        <v>272</v>
      </c>
      <c r="N84" s="12" t="s">
        <v>273</v>
      </c>
      <c r="O84" s="10" t="e" vm="1">
        <f ca="1">_xlfn.IMAGE("https://inahermex.com/wp-content/uploads/2025/07/YS-3-1-1030x1030.png")</f>
        <v>#VALUE!</v>
      </c>
    </row>
    <row r="85" spans="1:15" ht="120" x14ac:dyDescent="0.2">
      <c r="A85" s="8" t="s">
        <v>287</v>
      </c>
      <c r="B85" s="9" t="s">
        <v>282</v>
      </c>
      <c r="C85" s="8" t="s">
        <v>276</v>
      </c>
      <c r="D85" s="8" t="s">
        <v>142</v>
      </c>
      <c r="E85" s="8" t="s">
        <v>156</v>
      </c>
      <c r="F85" s="10" t="s">
        <v>167</v>
      </c>
      <c r="G85" s="10" t="s">
        <v>202</v>
      </c>
      <c r="H85" s="10" t="s">
        <v>159</v>
      </c>
      <c r="I85" s="11" t="s">
        <v>283</v>
      </c>
      <c r="J85" s="11" t="s">
        <v>284</v>
      </c>
      <c r="K85" s="11" t="s">
        <v>25</v>
      </c>
      <c r="L85" s="11" t="s">
        <v>25</v>
      </c>
      <c r="M85" s="8" t="s">
        <v>288</v>
      </c>
      <c r="N85" s="12" t="s">
        <v>289</v>
      </c>
      <c r="O85" s="10" t="e" vm="1">
        <f ca="1">_xlfn.IMAGE("https://inahermex.com/wp-content/uploads/2023/03/ZK-3-3-1030x1030.png")</f>
        <v>#VALUE!</v>
      </c>
    </row>
  </sheetData>
  <autoFilter ref="A1:O85" xr:uid="{00000000-0001-0000-0000-000000000000}">
    <sortState xmlns:xlrd2="http://schemas.microsoft.com/office/spreadsheetml/2017/richdata2" ref="A2:O85">
      <sortCondition ref="A1:A85"/>
    </sortState>
  </autoFilter>
  <hyperlinks>
    <hyperlink ref="M6" r:id="rId1" xr:uid="{00000000-0004-0000-0000-000000000000}"/>
    <hyperlink ref="M50" r:id="rId2" xr:uid="{00000000-0004-0000-0000-000001000000}"/>
    <hyperlink ref="M37" r:id="rId3" xr:uid="{00000000-0004-0000-0000-000002000000}"/>
    <hyperlink ref="M52" r:id="rId4" xr:uid="{00000000-0004-0000-0000-000003000000}"/>
    <hyperlink ref="M57" r:id="rId5" xr:uid="{00000000-0004-0000-0000-000004000000}"/>
    <hyperlink ref="M64" r:id="rId6" xr:uid="{00000000-0004-0000-0000-000005000000}"/>
    <hyperlink ref="M65" r:id="rId7" xr:uid="{00000000-0004-0000-0000-000006000000}"/>
    <hyperlink ref="M66" r:id="rId8" xr:uid="{00000000-0004-0000-0000-000007000000}"/>
    <hyperlink ref="M67" r:id="rId9" xr:uid="{00000000-0004-0000-0000-000008000000}"/>
    <hyperlink ref="M68" r:id="rId10" xr:uid="{00000000-0004-0000-0000-000009000000}"/>
    <hyperlink ref="M69" r:id="rId11" xr:uid="{00000000-0004-0000-0000-00000A000000}"/>
    <hyperlink ref="M70" r:id="rId12" xr:uid="{00000000-0004-0000-0000-00000B000000}"/>
    <hyperlink ref="M71" r:id="rId13" xr:uid="{00000000-0004-0000-0000-00000C000000}"/>
    <hyperlink ref="M72" r:id="rId14" xr:uid="{00000000-0004-0000-0000-00000D000000}"/>
    <hyperlink ref="M73" r:id="rId15" xr:uid="{00000000-0004-0000-0000-00000E000000}"/>
    <hyperlink ref="M74" r:id="rId16" xr:uid="{00000000-0004-0000-0000-00000F000000}"/>
    <hyperlink ref="M79" r:id="rId17" xr:uid="{00000000-0004-0000-0000-000010000000}"/>
    <hyperlink ref="M36" r:id="rId18" xr:uid="{00000000-0004-0000-0000-000011000000}"/>
    <hyperlink ref="M32" r:id="rId19" xr:uid="{00000000-0004-0000-0000-000012000000}"/>
    <hyperlink ref="M33" r:id="rId20" xr:uid="{00000000-0004-0000-0000-000013000000}"/>
    <hyperlink ref="M39" r:id="rId21" xr:uid="{00000000-0004-0000-0000-000014000000}"/>
    <hyperlink ref="M59" r:id="rId22" xr:uid="{00000000-0004-0000-0000-000015000000}"/>
    <hyperlink ref="M58" r:id="rId23" xr:uid="{00000000-0004-0000-0000-000016000000}"/>
    <hyperlink ref="M30" r:id="rId24" xr:uid="{00000000-0004-0000-0000-000017000000}"/>
    <hyperlink ref="M55" r:id="rId25" xr:uid="{00000000-0004-0000-0000-000018000000}"/>
    <hyperlink ref="M21" r:id="rId26" xr:uid="{00000000-0004-0000-0000-000019000000}"/>
    <hyperlink ref="M44" r:id="rId27" xr:uid="{00000000-0004-0000-0000-00001A000000}"/>
    <hyperlink ref="M45" r:id="rId28" xr:uid="{00000000-0004-0000-0000-00001B000000}"/>
    <hyperlink ref="M75" r:id="rId29" xr:uid="{00000000-0004-0000-0000-00001C000000}"/>
    <hyperlink ref="M77" r:id="rId30" xr:uid="{00000000-0004-0000-0000-00001D000000}"/>
    <hyperlink ref="M3" r:id="rId31" xr:uid="{00000000-0004-0000-0000-00001E000000}"/>
    <hyperlink ref="M4" r:id="rId32" xr:uid="{00000000-0004-0000-0000-00001F000000}"/>
    <hyperlink ref="M7" r:id="rId33" xr:uid="{00000000-0004-0000-0000-000020000000}"/>
    <hyperlink ref="M83" r:id="rId34" xr:uid="{00000000-0004-0000-0000-000021000000}"/>
    <hyperlink ref="M23" r:id="rId35" xr:uid="{00000000-0004-0000-0000-000022000000}"/>
    <hyperlink ref="M63" r:id="rId36" xr:uid="{00000000-0004-0000-0000-000023000000}"/>
    <hyperlink ref="M61" r:id="rId37" xr:uid="{00000000-0004-0000-0000-000024000000}"/>
    <hyperlink ref="M62" r:id="rId38" xr:uid="{00000000-0004-0000-0000-000025000000}"/>
    <hyperlink ref="M84" r:id="rId39" xr:uid="{00000000-0004-0000-0000-000026000000}"/>
    <hyperlink ref="M26" r:id="rId40" xr:uid="{00000000-0004-0000-0000-000027000000}"/>
    <hyperlink ref="M28" r:id="rId41" xr:uid="{00000000-0004-0000-0000-000028000000}"/>
    <hyperlink ref="M85" r:id="rId42" xr:uid="{00000000-0004-0000-0000-000029000000}"/>
    <hyperlink ref="M9" r:id="rId43" xr:uid="{00000000-0004-0000-0000-00002A000000}"/>
    <hyperlink ref="M12" r:id="rId44" xr:uid="{00000000-0004-0000-0000-00002B000000}"/>
    <hyperlink ref="M2" r:id="rId45" xr:uid="{00000000-0004-0000-0000-00002C000000}"/>
    <hyperlink ref="M25" r:id="rId46" xr:uid="{00000000-0004-0000-0000-00002D000000}"/>
    <hyperlink ref="M27" r:id="rId47" xr:uid="{00000000-0004-0000-0000-00002E000000}"/>
    <hyperlink ref="M29" r:id="rId48" xr:uid="{00000000-0004-0000-0000-00002F000000}"/>
    <hyperlink ref="M43" r:id="rId49" xr:uid="{00000000-0004-0000-0000-000030000000}"/>
    <hyperlink ref="M80" r:id="rId50" xr:uid="{00000000-0004-0000-0000-000031000000}"/>
    <hyperlink ref="M81" r:id="rId51" xr:uid="{00000000-0004-0000-0000-000032000000}"/>
    <hyperlink ref="M82" r:id="rId52" xr:uid="{00000000-0004-0000-0000-000033000000}"/>
    <hyperlink ref="M24" r:id="rId53" xr:uid="{00000000-0004-0000-0000-000034000000}"/>
    <hyperlink ref="M49" r:id="rId54" xr:uid="{00000000-0004-0000-0000-000035000000}"/>
    <hyperlink ref="M51" r:id="rId55" xr:uid="{00000000-0004-0000-0000-000036000000}"/>
    <hyperlink ref="M38" r:id="rId56" xr:uid="{00000000-0004-0000-0000-000037000000}"/>
    <hyperlink ref="M10" r:id="rId57" xr:uid="{00000000-0004-0000-0000-000038000000}"/>
    <hyperlink ref="M34" r:id="rId58" xr:uid="{00000000-0004-0000-0000-000039000000}"/>
    <hyperlink ref="M40" r:id="rId59" xr:uid="{00000000-0004-0000-0000-00003A000000}"/>
    <hyperlink ref="M48" r:id="rId60" xr:uid="{00000000-0004-0000-0000-00003B000000}"/>
    <hyperlink ref="M53" r:id="rId61" xr:uid="{00000000-0004-0000-0000-00003C000000}"/>
    <hyperlink ref="M78" r:id="rId62" xr:uid="{00000000-0004-0000-0000-00003D000000}"/>
    <hyperlink ref="M11" r:id="rId63" xr:uid="{00000000-0004-0000-0000-00003E000000}"/>
    <hyperlink ref="M5" r:id="rId64" xr:uid="{00000000-0004-0000-0000-00003F000000}"/>
    <hyperlink ref="M54" r:id="rId65" xr:uid="{00000000-0004-0000-0000-000040000000}"/>
    <hyperlink ref="M35" r:id="rId66" xr:uid="{00000000-0004-0000-0000-000041000000}"/>
    <hyperlink ref="M60" r:id="rId67" xr:uid="{00000000-0004-0000-0000-000042000000}"/>
    <hyperlink ref="M41" r:id="rId68" xr:uid="{00000000-0004-0000-0000-000043000000}"/>
    <hyperlink ref="M42" r:id="rId69" xr:uid="{00000000-0004-0000-0000-000044000000}"/>
    <hyperlink ref="M22" r:id="rId70" xr:uid="{00000000-0004-0000-0000-000045000000}"/>
    <hyperlink ref="M31" r:id="rId71" xr:uid="{00000000-0004-0000-0000-000046000000}"/>
    <hyperlink ref="M76" r:id="rId72" xr:uid="{00000000-0004-0000-0000-000047000000}"/>
    <hyperlink ref="M56" r:id="rId73" xr:uid="{00000000-0004-0000-0000-000048000000}"/>
    <hyperlink ref="M8" r:id="rId74" xr:uid="{00000000-0004-0000-0000-000049000000}"/>
    <hyperlink ref="M20" r:id="rId75" xr:uid="{00000000-0004-0000-0000-00004A000000}"/>
    <hyperlink ref="M13" r:id="rId76" xr:uid="{00000000-0004-0000-0000-00004B000000}"/>
    <hyperlink ref="M14" r:id="rId77" xr:uid="{00000000-0004-0000-0000-00004C000000}"/>
    <hyperlink ref="M15" r:id="rId78" xr:uid="{00000000-0004-0000-0000-00004D000000}"/>
    <hyperlink ref="M16" r:id="rId79" xr:uid="{00000000-0004-0000-0000-00004E000000}"/>
    <hyperlink ref="M17" r:id="rId80" xr:uid="{00000000-0004-0000-0000-00004F000000}"/>
    <hyperlink ref="M18" r:id="rId81" xr:uid="{00000000-0004-0000-0000-000050000000}"/>
    <hyperlink ref="M19" r:id="rId82" xr:uid="{00000000-0004-0000-0000-000051000000}"/>
    <hyperlink ref="M46" r:id="rId83" xr:uid="{00000000-0004-0000-0000-000052000000}"/>
    <hyperlink ref="M47" r:id="rId84" xr:uid="{00000000-0004-0000-0000-00005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baseColWidth="10" defaultColWidth="8.83203125" defaultRowHeight="15" x14ac:dyDescent="0.2"/>
  <cols>
    <col min="1" max="1" width="105" customWidth="1"/>
  </cols>
  <sheetData>
    <row r="1" spans="1:1" x14ac:dyDescent="0.2">
      <c r="A1" s="1" t="s">
        <v>501</v>
      </c>
    </row>
    <row r="2" spans="1:1" ht="28" customHeight="1" x14ac:dyDescent="0.2">
      <c r="A2" s="2" t="s">
        <v>502</v>
      </c>
    </row>
    <row r="3" spans="1:1" ht="42" customHeight="1" x14ac:dyDescent="0.2">
      <c r="A3" s="2" t="s">
        <v>503</v>
      </c>
    </row>
    <row r="4" spans="1:1" ht="28" customHeight="1" x14ac:dyDescent="0.2">
      <c r="A4" s="2" t="s">
        <v>504</v>
      </c>
    </row>
    <row r="5" spans="1:1" ht="42" customHeight="1" x14ac:dyDescent="0.2">
      <c r="A5" s="2" t="s">
        <v>505</v>
      </c>
    </row>
    <row r="6" spans="1:1" ht="28" customHeight="1" x14ac:dyDescent="0.2">
      <c r="A6" s="2" t="s">
        <v>506</v>
      </c>
    </row>
    <row r="7" spans="1:1" x14ac:dyDescent="0.2">
      <c r="A7" s="2" t="s">
        <v>507</v>
      </c>
    </row>
    <row r="8" spans="1:1" ht="28" customHeight="1" x14ac:dyDescent="0.2">
      <c r="A8" s="2" t="s">
        <v>508</v>
      </c>
    </row>
    <row r="9" spans="1:1" ht="28" customHeight="1" x14ac:dyDescent="0.2">
      <c r="A9" s="2" t="s">
        <v>509</v>
      </c>
    </row>
    <row r="10" spans="1:1" ht="28" customHeight="1" x14ac:dyDescent="0.2">
      <c r="A10" s="2" t="s">
        <v>510</v>
      </c>
    </row>
    <row r="11" spans="1:1" x14ac:dyDescent="0.2">
      <c r="A11" s="3" t="s">
        <v>511</v>
      </c>
    </row>
    <row r="12" spans="1:1" x14ac:dyDescent="0.2">
      <c r="A12" s="3" t="s">
        <v>512</v>
      </c>
    </row>
    <row r="13" spans="1:1" x14ac:dyDescent="0.2">
      <c r="A13" s="3" t="s">
        <v>513</v>
      </c>
    </row>
    <row r="14" spans="1:1" x14ac:dyDescent="0.2">
      <c r="A14" s="3" t="s">
        <v>514</v>
      </c>
    </row>
    <row r="15" spans="1:1" ht="120" x14ac:dyDescent="0.2">
      <c r="A15" s="4" t="s">
        <v>515</v>
      </c>
    </row>
    <row r="16" spans="1:1" ht="90" x14ac:dyDescent="0.2">
      <c r="A16" s="4" t="s">
        <v>516</v>
      </c>
    </row>
    <row r="17" spans="1:1" ht="105" x14ac:dyDescent="0.2">
      <c r="A17" s="4" t="s">
        <v>517</v>
      </c>
    </row>
    <row r="18" spans="1:1" ht="150" x14ac:dyDescent="0.2">
      <c r="A18" s="4" t="s">
        <v>518</v>
      </c>
    </row>
    <row r="19" spans="1:1" ht="150" x14ac:dyDescent="0.2">
      <c r="A19" s="4" t="s">
        <v>519</v>
      </c>
    </row>
    <row r="20" spans="1:1" ht="105" x14ac:dyDescent="0.2">
      <c r="A20" s="4" t="s">
        <v>520</v>
      </c>
    </row>
    <row r="21" spans="1:1" ht="45" x14ac:dyDescent="0.2">
      <c r="A21" s="4" t="s">
        <v>521</v>
      </c>
    </row>
    <row r="22" spans="1:1" ht="90" x14ac:dyDescent="0.2">
      <c r="A22" s="4" t="s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 niveladores WEB</vt:lpstr>
      <vt:lpstr>Hallazgos y 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Hernandez Valdivia</cp:lastModifiedBy>
  <dcterms:created xsi:type="dcterms:W3CDTF">2026-07-30T20:46:57Z</dcterms:created>
  <dcterms:modified xsi:type="dcterms:W3CDTF">2026-08-06T15:50:13Z</dcterms:modified>
</cp:coreProperties>
</file>